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ty\DontLoseYourHead\"/>
    </mc:Choice>
  </mc:AlternateContent>
  <xr:revisionPtr revIDLastSave="0" documentId="13_ncr:1_{EDFD1CBC-1002-43FF-B687-23AB6CD71064}" xr6:coauthVersionLast="47" xr6:coauthVersionMax="47" xr10:uidLastSave="{00000000-0000-0000-0000-000000000000}"/>
  <bookViews>
    <workbookView xWindow="-120" yWindow="-120" windowWidth="29040" windowHeight="15720" activeTab="3" xr2:uid="{2CF4C6FF-296F-4809-A32B-4EAC3125551D}"/>
  </bookViews>
  <sheets>
    <sheet name="Sheet1" sheetId="1" r:id="rId1"/>
    <sheet name="Sheet2" sheetId="2" r:id="rId2"/>
    <sheet name="Sheet6" sheetId="6" r:id="rId3"/>
    <sheet name="Sheet7" sheetId="7" r:id="rId4"/>
    <sheet name="Sheet3" sheetId="3" r:id="rId5"/>
    <sheet name="Sheet4" sheetId="4" r:id="rId6"/>
    <sheet name="Sheet5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8" i="6" l="1"/>
  <c r="AN17" i="6"/>
  <c r="AN7" i="6"/>
  <c r="AN6" i="6"/>
  <c r="AN16" i="6"/>
  <c r="AN15" i="6"/>
  <c r="AN5" i="6"/>
  <c r="AN4" i="6"/>
  <c r="W3" i="6" l="1"/>
  <c r="W15" i="6"/>
</calcChain>
</file>

<file path=xl/sharedStrings.xml><?xml version="1.0" encoding="utf-8"?>
<sst xmlns="http://schemas.openxmlformats.org/spreadsheetml/2006/main" count="1369" uniqueCount="78">
  <si>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</si>
  <si>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</si>
  <si>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</si>
  <si>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</si>
  <si>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</si>
  <si>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</si>
  <si>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</si>
  <si>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</si>
  <si>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</si>
  <si>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</si>
  <si>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</si>
  <si>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</si>
  <si>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</si>
  <si>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</si>
  <si>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</si>
  <si>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</si>
  <si>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</si>
  <si>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</si>
  <si>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</si>
  <si>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</si>
  <si>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</si>
  <si>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</si>
  <si>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</si>
  <si>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</si>
  <si>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</si>
  <si>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</si>
  <si>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You</t>
  </si>
  <si>
    <t>_</t>
  </si>
  <si>
    <t>Opponent</t>
  </si>
  <si>
    <t>3 Letter Word</t>
  </si>
  <si>
    <t>4 Letter Word</t>
  </si>
  <si>
    <t>5 Letter Word</t>
  </si>
  <si>
    <t>OWN</t>
  </si>
  <si>
    <t>GOWN</t>
  </si>
  <si>
    <t>CROWN</t>
  </si>
  <si>
    <t>10 MISSES</t>
  </si>
  <si>
    <t>MISSES</t>
  </si>
  <si>
    <t>PLAYER 1</t>
  </si>
  <si>
    <t>PLAYER 2</t>
  </si>
  <si>
    <t>*</t>
  </si>
  <si>
    <t>moan</t>
  </si>
  <si>
    <t>TURN</t>
  </si>
  <si>
    <t>GUESS</t>
  </si>
  <si>
    <t>STATUS</t>
  </si>
  <si>
    <t>HIT</t>
  </si>
  <si>
    <t>TYPE</t>
  </si>
  <si>
    <t>LETTER</t>
  </si>
  <si>
    <t>CLAUDE</t>
  </si>
  <si>
    <t>ME</t>
  </si>
  <si>
    <t>COORDINATE</t>
  </si>
  <si>
    <t>D4</t>
  </si>
  <si>
    <t>MISS</t>
  </si>
  <si>
    <t>PLAYER</t>
  </si>
  <si>
    <t>G6</t>
  </si>
  <si>
    <t>WORD</t>
  </si>
  <si>
    <t>RAT</t>
  </si>
  <si>
    <t>WORD MISS</t>
  </si>
  <si>
    <t>MISSED WORDS</t>
  </si>
  <si>
    <t>B2</t>
  </si>
  <si>
    <t>B6</t>
  </si>
  <si>
    <t>G2</t>
  </si>
  <si>
    <t>My Guessed Letters</t>
  </si>
  <si>
    <t>F7</t>
  </si>
  <si>
    <t>A1</t>
  </si>
  <si>
    <t>C3</t>
  </si>
  <si>
    <t>D3</t>
  </si>
  <si>
    <t>B8</t>
  </si>
  <si>
    <t>B3</t>
  </si>
  <si>
    <t>D2</t>
  </si>
  <si>
    <t>E5</t>
  </si>
  <si>
    <t>F1</t>
  </si>
  <si>
    <t>E6</t>
  </si>
  <si>
    <t>Claude Guessed Letters</t>
  </si>
  <si>
    <t>Move</t>
  </si>
  <si>
    <t>MOVE</t>
  </si>
  <si>
    <t>A4</t>
  </si>
  <si>
    <t>F6</t>
  </si>
  <si>
    <t>END 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</si>
</sst>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sz val="8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2"/>
      <color theme="1"/>
      <name val="Bahnschrift"/>
      <family val="2"/>
    </font>
    <font>
      <sz val="12"/>
      <name val="Bahnschrift"/>
      <family val="2"/>
    </font>
    <font>
      <b/>
      <sz val="12"/>
      <color theme="1"/>
      <name val="Bahnschrift"/>
      <family val="2"/>
    </font>
    <font>
      <sz val="20"/>
      <color theme="1"/>
      <name val="Bahnschrift"/>
      <family val="2"/>
    </font>
    <font>
      <u/>
      <sz val="12"/>
      <color theme="1"/>
      <name val="Bahnschrift"/>
      <family val="2"/>
    </font>
    <font>
      <b/>
      <sz val="11"/>
      <color theme="0"/>
      <name val="Aptos Narrow"/>
      <family val="2"/>
      <scheme val="minor"/>
    </font>
    <font>
      <u/>
      <sz val="16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216">
    <xf numFmtId="0" fontId="0" fillId="0" borderId="0" xfId="0"/>
    <xf numFmtId="0" fontId="0" fillId="0" borderId="2" xfId="0" applyBorder="1"/>
    <xf numFmtId="0" fontId="0" fillId="0" borderId="4" xfId="0" applyBorder="1"/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8" xfId="0" applyFont="1" applyFill="1" applyBorder="1" applyAlignment="1">
      <alignment horizontal="center" vertical="center"/>
    </xf>
    <xf numFmtId="0" fontId="1" fillId="4" borderId="2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/>
    </xf>
    <xf numFmtId="0" fontId="1" fillId="3" borderId="29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3" borderId="14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/>
    <xf numFmtId="0" fontId="5" fillId="3" borderId="10" xfId="0" applyFont="1" applyFill="1" applyBorder="1"/>
    <xf numFmtId="0" fontId="5" fillId="3" borderId="11" xfId="0" applyFont="1" applyFill="1" applyBorder="1"/>
    <xf numFmtId="0" fontId="5" fillId="3" borderId="12" xfId="0" applyFont="1" applyFill="1" applyBorder="1"/>
    <xf numFmtId="0" fontId="5" fillId="0" borderId="0" xfId="0" applyFont="1"/>
    <xf numFmtId="0" fontId="5" fillId="3" borderId="13" xfId="0" applyFont="1" applyFill="1" applyBorder="1"/>
    <xf numFmtId="0" fontId="5" fillId="3" borderId="14" xfId="0" applyFont="1" applyFill="1" applyBorder="1"/>
    <xf numFmtId="0" fontId="5" fillId="3" borderId="23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3" borderId="0" xfId="0" applyFont="1" applyFill="1"/>
    <xf numFmtId="0" fontId="5" fillId="7" borderId="5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3" borderId="28" xfId="0" applyFont="1" applyFill="1" applyBorder="1" applyAlignment="1">
      <alignment horizontal="center" vertical="center"/>
    </xf>
    <xf numFmtId="0" fontId="5" fillId="3" borderId="29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8" xfId="0" applyFont="1" applyFill="1" applyBorder="1"/>
    <xf numFmtId="0" fontId="5" fillId="3" borderId="22" xfId="0" applyFont="1" applyFill="1" applyBorder="1"/>
    <xf numFmtId="0" fontId="5" fillId="3" borderId="29" xfId="0" applyFont="1" applyFill="1" applyBorder="1"/>
    <xf numFmtId="0" fontId="5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top"/>
    </xf>
    <xf numFmtId="0" fontId="9" fillId="2" borderId="28" xfId="0" applyFont="1" applyFill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5" fillId="8" borderId="19" xfId="0" applyFont="1" applyFill="1" applyBorder="1" applyAlignment="1">
      <alignment horizontal="center" vertical="center"/>
    </xf>
    <xf numFmtId="0" fontId="5" fillId="8" borderId="20" xfId="0" applyFont="1" applyFill="1" applyBorder="1" applyAlignment="1">
      <alignment horizontal="center" vertical="center"/>
    </xf>
    <xf numFmtId="0" fontId="5" fillId="8" borderId="21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7" fillId="8" borderId="22" xfId="0" applyFont="1" applyFill="1" applyBorder="1" applyAlignment="1">
      <alignment horizontal="center" vertical="center" wrapText="1"/>
    </xf>
    <xf numFmtId="0" fontId="7" fillId="8" borderId="28" xfId="0" applyFont="1" applyFill="1" applyBorder="1" applyAlignment="1">
      <alignment horizontal="center" vertical="center" wrapText="1"/>
    </xf>
    <xf numFmtId="0" fontId="7" fillId="8" borderId="29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horizontal="center" vertical="center"/>
    </xf>
    <xf numFmtId="0" fontId="7" fillId="8" borderId="11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22" xfId="0" applyFont="1" applyFill="1" applyBorder="1" applyAlignment="1">
      <alignment horizontal="center" vertical="center"/>
    </xf>
    <xf numFmtId="0" fontId="7" fillId="8" borderId="28" xfId="0" applyFont="1" applyFill="1" applyBorder="1" applyAlignment="1">
      <alignment horizontal="center" vertical="center"/>
    </xf>
    <xf numFmtId="0" fontId="7" fillId="8" borderId="29" xfId="0" applyFont="1" applyFill="1" applyBorder="1" applyAlignment="1">
      <alignment horizontal="center" vertical="center"/>
    </xf>
    <xf numFmtId="0" fontId="7" fillId="10" borderId="10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7" fillId="10" borderId="12" xfId="0" applyFont="1" applyFill="1" applyBorder="1" applyAlignment="1">
      <alignment horizontal="center" vertical="center"/>
    </xf>
    <xf numFmtId="0" fontId="7" fillId="10" borderId="22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29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center" vertical="center"/>
    </xf>
    <xf numFmtId="0" fontId="5" fillId="9" borderId="21" xfId="0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0" fillId="0" borderId="29" xfId="0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" fillId="6" borderId="2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/>
    </xf>
    <xf numFmtId="0" fontId="1" fillId="9" borderId="25" xfId="0" applyFont="1" applyFill="1" applyBorder="1" applyAlignment="1">
      <alignment horizontal="center" vertical="center"/>
    </xf>
    <xf numFmtId="0" fontId="1" fillId="9" borderId="26" xfId="0" applyFont="1" applyFill="1" applyBorder="1" applyAlignment="1">
      <alignment horizontal="center" vertical="center"/>
    </xf>
    <xf numFmtId="0" fontId="1" fillId="9" borderId="27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1" fillId="14" borderId="12" xfId="0" applyFont="1" applyFill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1" fillId="14" borderId="20" xfId="0" applyFont="1" applyFill="1" applyBorder="1" applyAlignment="1">
      <alignment horizontal="center" vertical="center"/>
    </xf>
    <xf numFmtId="0" fontId="1" fillId="14" borderId="23" xfId="0" applyFont="1" applyFill="1" applyBorder="1" applyAlignment="1">
      <alignment horizontal="center" vertical="center"/>
    </xf>
    <xf numFmtId="0" fontId="1" fillId="14" borderId="18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1" fillId="10" borderId="20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0" fillId="0" borderId="38" xfId="0" applyFont="1" applyFill="1" applyBorder="1" applyAlignment="1">
      <alignment horizontal="center" vertical="center"/>
    </xf>
    <xf numFmtId="1" fontId="10" fillId="0" borderId="39" xfId="0" applyNumberFormat="1" applyFont="1" applyFill="1" applyBorder="1" applyAlignment="1">
      <alignment horizontal="center" vertical="center"/>
    </xf>
    <xf numFmtId="0" fontId="10" fillId="0" borderId="39" xfId="0" applyFont="1" applyFill="1" applyBorder="1" applyAlignment="1">
      <alignment horizontal="center" vertical="center"/>
    </xf>
    <xf numFmtId="0" fontId="10" fillId="0" borderId="40" xfId="0" applyFont="1" applyFill="1" applyBorder="1" applyAlignment="1">
      <alignment horizontal="center" vertical="center"/>
    </xf>
    <xf numFmtId="0" fontId="0" fillId="0" borderId="36" xfId="0" applyFont="1" applyFill="1" applyBorder="1" applyAlignment="1">
      <alignment horizontal="center" vertical="center"/>
    </xf>
    <xf numFmtId="1" fontId="0" fillId="0" borderId="33" xfId="0" applyNumberFormat="1" applyFont="1" applyFill="1" applyBorder="1" applyAlignment="1">
      <alignment horizontal="center" vertical="center"/>
    </xf>
    <xf numFmtId="0" fontId="0" fillId="0" borderId="33" xfId="0" applyFont="1" applyFill="1" applyBorder="1" applyAlignment="1">
      <alignment horizontal="center" vertical="center"/>
    </xf>
    <xf numFmtId="0" fontId="0" fillId="0" borderId="37" xfId="0" applyFont="1" applyFill="1" applyBorder="1" applyAlignment="1">
      <alignment horizontal="center" vertical="center"/>
    </xf>
    <xf numFmtId="0" fontId="0" fillId="0" borderId="41" xfId="0" applyFont="1" applyFill="1" applyBorder="1" applyAlignment="1">
      <alignment horizontal="center" vertical="center"/>
    </xf>
    <xf numFmtId="1" fontId="0" fillId="0" borderId="42" xfId="0" applyNumberFormat="1" applyFont="1" applyFill="1" applyBorder="1" applyAlignment="1">
      <alignment horizontal="center" vertical="center"/>
    </xf>
    <xf numFmtId="0" fontId="0" fillId="0" borderId="42" xfId="0" applyFont="1" applyFill="1" applyBorder="1" applyAlignment="1">
      <alignment horizontal="center" vertical="center"/>
    </xf>
    <xf numFmtId="0" fontId="0" fillId="0" borderId="43" xfId="0" applyFont="1" applyFill="1" applyBorder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medium">
          <color theme="1"/>
        </top>
        <bottom style="thin">
          <color theme="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" formatCode="0"/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medium">
          <color theme="1"/>
        </top>
        <bottom style="thin">
          <color theme="1"/>
        </bottom>
      </border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90F90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svg"/><Relationship Id="rId13" Type="http://schemas.openxmlformats.org/officeDocument/2006/relationships/image" Target="../media/image10.png"/><Relationship Id="rId18" Type="http://schemas.openxmlformats.org/officeDocument/2006/relationships/image" Target="../media/image15.emf"/><Relationship Id="rId26" Type="http://schemas.openxmlformats.org/officeDocument/2006/relationships/image" Target="../media/image23.emf"/><Relationship Id="rId3" Type="http://schemas.openxmlformats.org/officeDocument/2006/relationships/image" Target="../media/image1.png"/><Relationship Id="rId21" Type="http://schemas.openxmlformats.org/officeDocument/2006/relationships/image" Target="../media/image18.emf"/><Relationship Id="rId7" Type="http://schemas.openxmlformats.org/officeDocument/2006/relationships/image" Target="../media/image4.png"/><Relationship Id="rId12" Type="http://schemas.openxmlformats.org/officeDocument/2006/relationships/image" Target="../media/image9.svg"/><Relationship Id="rId17" Type="http://schemas.openxmlformats.org/officeDocument/2006/relationships/image" Target="../media/image14.png"/><Relationship Id="rId25" Type="http://schemas.openxmlformats.org/officeDocument/2006/relationships/image" Target="../media/image22.emf"/><Relationship Id="rId2" Type="http://schemas.openxmlformats.org/officeDocument/2006/relationships/customXml" Target="../ink/ink1.xml"/><Relationship Id="rId16" Type="http://schemas.openxmlformats.org/officeDocument/2006/relationships/image" Target="../media/image13.svg"/><Relationship Id="rId20" Type="http://schemas.openxmlformats.org/officeDocument/2006/relationships/image" Target="../media/image17.png"/><Relationship Id="rId29" Type="http://schemas.openxmlformats.org/officeDocument/2006/relationships/image" Target="../media/image26.emf"/><Relationship Id="rId1" Type="http://schemas.openxmlformats.org/officeDocument/2006/relationships/image" Target="../media/image1.emf"/><Relationship Id="rId6" Type="http://schemas.openxmlformats.org/officeDocument/2006/relationships/image" Target="../media/image3.svg"/><Relationship Id="rId11" Type="http://schemas.openxmlformats.org/officeDocument/2006/relationships/image" Target="../media/image8.png"/><Relationship Id="rId24" Type="http://schemas.openxmlformats.org/officeDocument/2006/relationships/image" Target="../media/image21.emf"/><Relationship Id="rId5" Type="http://schemas.openxmlformats.org/officeDocument/2006/relationships/image" Target="../media/image2.png"/><Relationship Id="rId15" Type="http://schemas.openxmlformats.org/officeDocument/2006/relationships/image" Target="../media/image12.png"/><Relationship Id="rId23" Type="http://schemas.openxmlformats.org/officeDocument/2006/relationships/image" Target="../media/image20.svg"/><Relationship Id="rId28" Type="http://schemas.openxmlformats.org/officeDocument/2006/relationships/image" Target="../media/image25.emf"/><Relationship Id="rId10" Type="http://schemas.openxmlformats.org/officeDocument/2006/relationships/image" Target="../media/image7.svg"/><Relationship Id="rId19" Type="http://schemas.openxmlformats.org/officeDocument/2006/relationships/image" Target="../media/image16.emf"/><Relationship Id="rId4" Type="http://schemas.openxmlformats.org/officeDocument/2006/relationships/customXml" Target="../ink/ink2.xml"/><Relationship Id="rId9" Type="http://schemas.openxmlformats.org/officeDocument/2006/relationships/image" Target="../media/image6.png"/><Relationship Id="rId14" Type="http://schemas.openxmlformats.org/officeDocument/2006/relationships/image" Target="../media/image11.svg"/><Relationship Id="rId22" Type="http://schemas.openxmlformats.org/officeDocument/2006/relationships/image" Target="../media/image19.png"/><Relationship Id="rId27" Type="http://schemas.openxmlformats.org/officeDocument/2006/relationships/image" Target="../media/image24.emf"/><Relationship Id="rId30" Type="http://schemas.openxmlformats.org/officeDocument/2006/relationships/image" Target="../media/image2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54348</xdr:colOff>
      <xdr:row>0</xdr:row>
      <xdr:rowOff>54349</xdr:rowOff>
    </xdr:from>
    <xdr:to>
      <xdr:col>16</xdr:col>
      <xdr:colOff>7844</xdr:colOff>
      <xdr:row>9</xdr:row>
      <xdr:rowOff>141196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pSpPr/>
      </xdr:nvGrpSpPr>
      <xdr:grpSpPr>
        <a:xfrm>
          <a:off x="2502273" y="54349"/>
          <a:ext cx="912159" cy="1935818"/>
          <a:chOff x="3657600" y="904875"/>
          <a:chExt cx="923925" cy="1971676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00000000-0008-0000-0300-00001A000000}"/>
              </a:ext>
            </a:extLst>
          </xdr:cNvPr>
          <xdr:cNvSpPr/>
        </xdr:nvSpPr>
        <xdr:spPr>
          <a:xfrm flipH="1">
            <a:off x="3657600" y="904875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SpPr/>
        </xdr:nvSpPr>
        <xdr:spPr>
          <a:xfrm flipH="1">
            <a:off x="3657600" y="2647950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SpPr/>
        </xdr:nvSpPr>
        <xdr:spPr>
          <a:xfrm flipH="1">
            <a:off x="3657600" y="2466975"/>
            <a:ext cx="923925" cy="219075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00000000-0008-0000-0300-000004000000}"/>
              </a:ext>
            </a:extLst>
          </xdr:cNvPr>
          <xdr:cNvGrpSpPr/>
        </xdr:nvGrpSpPr>
        <xdr:grpSpPr>
          <a:xfrm flipH="1">
            <a:off x="3657600" y="923925"/>
            <a:ext cx="923925" cy="514350"/>
            <a:chOff x="3667125" y="923925"/>
            <a:chExt cx="923925" cy="514350"/>
          </a:xfrm>
          <a:solidFill>
            <a:schemeClr val="accent1">
              <a:lumMod val="20000"/>
              <a:lumOff val="80000"/>
            </a:schemeClr>
          </a:solidFill>
        </xdr:grpSpPr>
        <xdr:sp macro="" textlink="">
          <xdr:nvSpPr>
            <xdr:cNvPr id="2" name="Rectangle 1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SpPr/>
          </xdr:nvSpPr>
          <xdr:spPr>
            <a:xfrm>
              <a:off x="3667125" y="92392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" name="Flowchart: Manual Input 2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SpPr/>
          </xdr:nvSpPr>
          <xdr:spPr>
            <a:xfrm rot="10800000">
              <a:off x="3686174" y="1152520"/>
              <a:ext cx="886786" cy="285755"/>
            </a:xfrm>
            <a:custGeom>
              <a:avLst/>
              <a:gdLst>
                <a:gd name="connsiteX0" fmla="*/ 0 w 10000"/>
                <a:gd name="connsiteY0" fmla="*/ 2000 h 10000"/>
                <a:gd name="connsiteX1" fmla="*/ 10000 w 10000"/>
                <a:gd name="connsiteY1" fmla="*/ 0 h 10000"/>
                <a:gd name="connsiteX2" fmla="*/ 10000 w 10000"/>
                <a:gd name="connsiteY2" fmla="*/ 10000 h 10000"/>
                <a:gd name="connsiteX3" fmla="*/ 0 w 10000"/>
                <a:gd name="connsiteY3" fmla="*/ 10000 h 10000"/>
                <a:gd name="connsiteX4" fmla="*/ 0 w 10000"/>
                <a:gd name="connsiteY4" fmla="*/ 2000 h 10000"/>
                <a:gd name="connsiteX0" fmla="*/ 0 w 10104"/>
                <a:gd name="connsiteY0" fmla="*/ 4069 h 10000"/>
                <a:gd name="connsiteX1" fmla="*/ 10104 w 10104"/>
                <a:gd name="connsiteY1" fmla="*/ 0 h 10000"/>
                <a:gd name="connsiteX2" fmla="*/ 10104 w 10104"/>
                <a:gd name="connsiteY2" fmla="*/ 10000 h 10000"/>
                <a:gd name="connsiteX3" fmla="*/ 104 w 10104"/>
                <a:gd name="connsiteY3" fmla="*/ 10000 h 10000"/>
                <a:gd name="connsiteX4" fmla="*/ 0 w 10104"/>
                <a:gd name="connsiteY4" fmla="*/ 4069 h 10000"/>
                <a:gd name="connsiteX0" fmla="*/ 316 w 10003"/>
                <a:gd name="connsiteY0" fmla="*/ 4069 h 10000"/>
                <a:gd name="connsiteX1" fmla="*/ 10003 w 10003"/>
                <a:gd name="connsiteY1" fmla="*/ 0 h 10000"/>
                <a:gd name="connsiteX2" fmla="*/ 10003 w 10003"/>
                <a:gd name="connsiteY2" fmla="*/ 10000 h 10000"/>
                <a:gd name="connsiteX3" fmla="*/ 3 w 10003"/>
                <a:gd name="connsiteY3" fmla="*/ 10000 h 10000"/>
                <a:gd name="connsiteX4" fmla="*/ 316 w 10003"/>
                <a:gd name="connsiteY4" fmla="*/ 4069 h 10000"/>
                <a:gd name="connsiteX0" fmla="*/ 11 w 9698"/>
                <a:gd name="connsiteY0" fmla="*/ 4069 h 10345"/>
                <a:gd name="connsiteX1" fmla="*/ 9698 w 9698"/>
                <a:gd name="connsiteY1" fmla="*/ 0 h 10345"/>
                <a:gd name="connsiteX2" fmla="*/ 9698 w 9698"/>
                <a:gd name="connsiteY2" fmla="*/ 10000 h 10345"/>
                <a:gd name="connsiteX3" fmla="*/ 10 w 9698"/>
                <a:gd name="connsiteY3" fmla="*/ 10345 h 10345"/>
                <a:gd name="connsiteX4" fmla="*/ 11 w 9698"/>
                <a:gd name="connsiteY4" fmla="*/ 4069 h 10345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9698" h="10345">
                  <a:moveTo>
                    <a:pt x="11" y="4069"/>
                  </a:moveTo>
                  <a:lnTo>
                    <a:pt x="9698" y="0"/>
                  </a:lnTo>
                  <a:lnTo>
                    <a:pt x="9698" y="10000"/>
                  </a:lnTo>
                  <a:lnTo>
                    <a:pt x="10" y="10345"/>
                  </a:lnTo>
                  <a:cubicBezTo>
                    <a:pt x="-25" y="8368"/>
                    <a:pt x="46" y="6046"/>
                    <a:pt x="11" y="4069"/>
                  </a:cubicBezTo>
                  <a:close/>
                </a:path>
              </a:pathLst>
            </a:cu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003">
              <a:schemeClr val="lt2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SpPr/>
        </xdr:nvSpPr>
        <xdr:spPr>
          <a:xfrm>
            <a:off x="3905250" y="2466975"/>
            <a:ext cx="438150" cy="409576"/>
          </a:xfrm>
          <a:prstGeom prst="ellipse">
            <a:avLst/>
          </a:prstGeom>
          <a:solidFill>
            <a:schemeClr val="accent5">
              <a:lumMod val="60000"/>
              <a:lumOff val="4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300-000006000000}"/>
              </a:ext>
            </a:extLst>
          </xdr:cNvPr>
          <xdr:cNvSpPr/>
        </xdr:nvSpPr>
        <xdr:spPr>
          <a:xfrm>
            <a:off x="3657601" y="904876"/>
            <a:ext cx="133350" cy="1965960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300-000007000000}"/>
              </a:ext>
            </a:extLst>
          </xdr:cNvPr>
          <xdr:cNvSpPr/>
        </xdr:nvSpPr>
        <xdr:spPr>
          <a:xfrm>
            <a:off x="4448175" y="904876"/>
            <a:ext cx="133350" cy="1962149"/>
          </a:xfrm>
          <a:prstGeom prst="rect">
            <a:avLst/>
          </a:prstGeom>
          <a:solidFill>
            <a:schemeClr val="accent2">
              <a:lumMod val="5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1" name="Oval 10">
            <a:extLst>
              <a:ext uri="{FF2B5EF4-FFF2-40B4-BE49-F238E27FC236}">
                <a16:creationId xmlns:a16="http://schemas.microsoft.com/office/drawing/2014/main" id="{00000000-0008-0000-0300-00000B000000}"/>
              </a:ext>
            </a:extLst>
          </xdr:cNvPr>
          <xdr:cNvSpPr/>
        </xdr:nvSpPr>
        <xdr:spPr>
          <a:xfrm>
            <a:off x="4002359" y="2561296"/>
            <a:ext cx="84796" cy="85725"/>
          </a:xfrm>
          <a:prstGeom prst="ellips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2" name="Oval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/>
        </xdr:nvSpPr>
        <xdr:spPr>
          <a:xfrm>
            <a:off x="4146395" y="2560367"/>
            <a:ext cx="84796" cy="85725"/>
          </a:xfrm>
          <a:prstGeom prst="ellips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3" name="Flowchart: Stored Data 12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SpPr/>
        </xdr:nvSpPr>
        <xdr:spPr>
          <a:xfrm rot="5400000">
            <a:off x="4085993" y="2686515"/>
            <a:ext cx="70624" cy="149612"/>
          </a:xfrm>
          <a:prstGeom prst="flowChartOnlineStorage">
            <a:avLst/>
          </a:prstGeom>
          <a:solidFill>
            <a:schemeClr val="tx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12</xdr:col>
      <xdr:colOff>7845</xdr:colOff>
      <xdr:row>9</xdr:row>
      <xdr:rowOff>169770</xdr:rowOff>
    </xdr:from>
    <xdr:to>
      <xdr:col>16</xdr:col>
      <xdr:colOff>7845</xdr:colOff>
      <xdr:row>12</xdr:row>
      <xdr:rowOff>131669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pSpPr/>
      </xdr:nvGrpSpPr>
      <xdr:grpSpPr>
        <a:xfrm>
          <a:off x="2517963" y="2018741"/>
          <a:ext cx="896470" cy="634252"/>
          <a:chOff x="3657601" y="2343150"/>
          <a:chExt cx="914400" cy="647700"/>
        </a:xfrm>
      </xdr:grpSpPr>
      <xdr:sp macro="" textlink="">
        <xdr:nvSpPr>
          <xdr:cNvPr id="29" name="Trapezoid 28">
            <a:extLst>
              <a:ext uri="{FF2B5EF4-FFF2-40B4-BE49-F238E27FC236}">
                <a16:creationId xmlns:a16="http://schemas.microsoft.com/office/drawing/2014/main" id="{00000000-0008-0000-0300-00001D000000}"/>
              </a:ext>
            </a:extLst>
          </xdr:cNvPr>
          <xdr:cNvSpPr/>
        </xdr:nvSpPr>
        <xdr:spPr>
          <a:xfrm rot="10800000">
            <a:off x="3771900" y="2400300"/>
            <a:ext cx="704850" cy="590550"/>
          </a:xfrm>
          <a:prstGeom prst="trapezoid">
            <a:avLst/>
          </a:prstGeom>
          <a:pattFill prst="pct30">
            <a:fgClr>
              <a:schemeClr val="tx1"/>
            </a:fgClr>
            <a:bgClr>
              <a:schemeClr val="bg1"/>
            </a:bgClr>
          </a:patt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30" name="Flowchart: Terminator 29">
            <a:extLst>
              <a:ext uri="{FF2B5EF4-FFF2-40B4-BE49-F238E27FC236}">
                <a16:creationId xmlns:a16="http://schemas.microsoft.com/office/drawing/2014/main" id="{00000000-0008-0000-0300-00001E000000}"/>
              </a:ext>
            </a:extLst>
          </xdr:cNvPr>
          <xdr:cNvSpPr/>
        </xdr:nvSpPr>
        <xdr:spPr>
          <a:xfrm>
            <a:off x="3657601" y="2343150"/>
            <a:ext cx="914400" cy="85725"/>
          </a:xfrm>
          <a:prstGeom prst="flowChartTerminator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15</xdr:col>
      <xdr:colOff>115126</xdr:colOff>
      <xdr:row>5</xdr:row>
      <xdr:rowOff>215419</xdr:rowOff>
    </xdr:from>
    <xdr:to>
      <xdr:col>15</xdr:col>
      <xdr:colOff>208572</xdr:colOff>
      <xdr:row>5</xdr:row>
      <xdr:rowOff>215419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CxnSpPr/>
      </xdr:nvCxnSpPr>
      <xdr:spPr>
        <a:xfrm>
          <a:off x="3320008" y="1167919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4</xdr:row>
      <xdr:rowOff>215419</xdr:rowOff>
    </xdr:from>
    <xdr:to>
      <xdr:col>15</xdr:col>
      <xdr:colOff>208572</xdr:colOff>
      <xdr:row>4</xdr:row>
      <xdr:rowOff>215419</xdr:rowOff>
    </xdr:to>
    <xdr:cxnSp macro="">
      <xdr:nvCxnSpPr>
        <xdr:cNvPr id="66" name="Straight Connector 65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CxnSpPr/>
      </xdr:nvCxnSpPr>
      <xdr:spPr>
        <a:xfrm>
          <a:off x="3320008" y="94380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6</xdr:row>
      <xdr:rowOff>96076</xdr:rowOff>
    </xdr:from>
    <xdr:to>
      <xdr:col>15</xdr:col>
      <xdr:colOff>208572</xdr:colOff>
      <xdr:row>6</xdr:row>
      <xdr:rowOff>96076</xdr:rowOff>
    </xdr:to>
    <xdr:cxnSp macro="">
      <xdr:nvCxnSpPr>
        <xdr:cNvPr id="67" name="Straight Connector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CxnSpPr/>
      </xdr:nvCxnSpPr>
      <xdr:spPr>
        <a:xfrm>
          <a:off x="3320008" y="1272694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5</xdr:row>
      <xdr:rowOff>105601</xdr:rowOff>
    </xdr:from>
    <xdr:to>
      <xdr:col>15</xdr:col>
      <xdr:colOff>208572</xdr:colOff>
      <xdr:row>5</xdr:row>
      <xdr:rowOff>105601</xdr:rowOff>
    </xdr:to>
    <xdr:cxnSp macro="">
      <xdr:nvCxnSpPr>
        <xdr:cNvPr id="68" name="Straight Connector 67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CxnSpPr/>
      </xdr:nvCxnSpPr>
      <xdr:spPr>
        <a:xfrm>
          <a:off x="3320008" y="105810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4</xdr:row>
      <xdr:rowOff>105602</xdr:rowOff>
    </xdr:from>
    <xdr:to>
      <xdr:col>15</xdr:col>
      <xdr:colOff>208572</xdr:colOff>
      <xdr:row>4</xdr:row>
      <xdr:rowOff>105602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CxnSpPr/>
      </xdr:nvCxnSpPr>
      <xdr:spPr>
        <a:xfrm>
          <a:off x="3320008" y="833984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3</xdr:row>
      <xdr:rowOff>212382</xdr:rowOff>
    </xdr:from>
    <xdr:to>
      <xdr:col>15</xdr:col>
      <xdr:colOff>208572</xdr:colOff>
      <xdr:row>3</xdr:row>
      <xdr:rowOff>212382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CxnSpPr/>
      </xdr:nvCxnSpPr>
      <xdr:spPr>
        <a:xfrm>
          <a:off x="3320008" y="716647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2</xdr:row>
      <xdr:rowOff>215419</xdr:rowOff>
    </xdr:from>
    <xdr:to>
      <xdr:col>15</xdr:col>
      <xdr:colOff>208572</xdr:colOff>
      <xdr:row>2</xdr:row>
      <xdr:rowOff>215419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CxnSpPr/>
      </xdr:nvCxnSpPr>
      <xdr:spPr>
        <a:xfrm>
          <a:off x="3320008" y="495566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1</xdr:row>
      <xdr:rowOff>215419</xdr:rowOff>
    </xdr:from>
    <xdr:to>
      <xdr:col>15</xdr:col>
      <xdr:colOff>208572</xdr:colOff>
      <xdr:row>1</xdr:row>
      <xdr:rowOff>215419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CxnSpPr/>
      </xdr:nvCxnSpPr>
      <xdr:spPr>
        <a:xfrm>
          <a:off x="3320008" y="271448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3</xdr:row>
      <xdr:rowOff>96076</xdr:rowOff>
    </xdr:from>
    <xdr:to>
      <xdr:col>15</xdr:col>
      <xdr:colOff>208572</xdr:colOff>
      <xdr:row>3</xdr:row>
      <xdr:rowOff>96076</xdr:rowOff>
    </xdr:to>
    <xdr:cxnSp macro="">
      <xdr:nvCxnSpPr>
        <xdr:cNvPr id="73" name="Straight Connector 7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CxnSpPr/>
      </xdr:nvCxnSpPr>
      <xdr:spPr>
        <a:xfrm>
          <a:off x="3320008" y="600341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2</xdr:row>
      <xdr:rowOff>105601</xdr:rowOff>
    </xdr:from>
    <xdr:to>
      <xdr:col>15</xdr:col>
      <xdr:colOff>208572</xdr:colOff>
      <xdr:row>2</xdr:row>
      <xdr:rowOff>105601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CxnSpPr/>
      </xdr:nvCxnSpPr>
      <xdr:spPr>
        <a:xfrm>
          <a:off x="3320008" y="385748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115126</xdr:colOff>
      <xdr:row>1</xdr:row>
      <xdr:rowOff>105601</xdr:rowOff>
    </xdr:from>
    <xdr:to>
      <xdr:col>15</xdr:col>
      <xdr:colOff>208572</xdr:colOff>
      <xdr:row>1</xdr:row>
      <xdr:rowOff>105601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CxnSpPr/>
      </xdr:nvCxnSpPr>
      <xdr:spPr>
        <a:xfrm>
          <a:off x="3320008" y="161630"/>
          <a:ext cx="93446" cy="0"/>
        </a:xfrm>
        <a:prstGeom prst="line">
          <a:avLst/>
        </a:prstGeom>
        <a:ln>
          <a:solidFill>
            <a:srgbClr val="C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10775</xdr:colOff>
      <xdr:row>1</xdr:row>
      <xdr:rowOff>75254</xdr:rowOff>
    </xdr:from>
    <xdr:to>
      <xdr:col>15</xdr:col>
      <xdr:colOff>82578</xdr:colOff>
      <xdr:row>1</xdr:row>
      <xdr:rowOff>142661</xdr:rowOff>
    </xdr:to>
    <xdr:sp macro="" textlink="">
      <xdr:nvSpPr>
        <xdr:cNvPr id="99" name="Arrow: Right 98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/>
      </xdr:nvSpPr>
      <xdr:spPr>
        <a:xfrm>
          <a:off x="2991540" y="131283"/>
          <a:ext cx="295920" cy="67407"/>
        </a:xfrm>
        <a:prstGeom prst="rightArrow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11846</xdr:colOff>
      <xdr:row>18</xdr:row>
      <xdr:rowOff>4003</xdr:rowOff>
    </xdr:from>
    <xdr:to>
      <xdr:col>16</xdr:col>
      <xdr:colOff>19770</xdr:colOff>
      <xdr:row>29</xdr:row>
      <xdr:rowOff>146878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GrpSpPr/>
      </xdr:nvGrpSpPr>
      <xdr:grpSpPr>
        <a:xfrm>
          <a:off x="2521964" y="3746768"/>
          <a:ext cx="904394" cy="2608169"/>
          <a:chOff x="2597203" y="4031717"/>
          <a:chExt cx="933210" cy="2687411"/>
        </a:xfrm>
      </xdr:grpSpPr>
      <xdr:grpSp>
        <xdr:nvGrpSpPr>
          <xdr:cNvPr id="28" name="Group 27">
            <a:extLst>
              <a:ext uri="{FF2B5EF4-FFF2-40B4-BE49-F238E27FC236}">
                <a16:creationId xmlns:a16="http://schemas.microsoft.com/office/drawing/2014/main" id="{00000000-0008-0000-0300-00001C000000}"/>
              </a:ext>
            </a:extLst>
          </xdr:cNvPr>
          <xdr:cNvGrpSpPr/>
        </xdr:nvGrpSpPr>
        <xdr:grpSpPr>
          <a:xfrm>
            <a:off x="2597203" y="4031717"/>
            <a:ext cx="933210" cy="1993447"/>
            <a:chOff x="3676650" y="3419475"/>
            <a:chExt cx="923925" cy="1981201"/>
          </a:xfrm>
        </xdr:grpSpPr>
        <xdr:sp macro="" textlink="">
          <xdr:nvSpPr>
            <xdr:cNvPr id="25" name="Rectangle 24">
              <a:extLst>
                <a:ext uri="{FF2B5EF4-FFF2-40B4-BE49-F238E27FC236}">
                  <a16:creationId xmlns:a16="http://schemas.microsoft.com/office/drawing/2014/main" id="{00000000-0008-0000-0300-000019000000}"/>
                </a:ext>
              </a:extLst>
            </xdr:cNvPr>
            <xdr:cNvSpPr/>
          </xdr:nvSpPr>
          <xdr:spPr>
            <a:xfrm flipH="1">
              <a:off x="3676650" y="34194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4" name="Rectangle 23">
              <a:extLst>
                <a:ext uri="{FF2B5EF4-FFF2-40B4-BE49-F238E27FC236}">
                  <a16:creationId xmlns:a16="http://schemas.microsoft.com/office/drawing/2014/main" id="{00000000-0008-0000-0300-000018000000}"/>
                </a:ext>
              </a:extLst>
            </xdr:cNvPr>
            <xdr:cNvSpPr/>
          </xdr:nvSpPr>
          <xdr:spPr>
            <a:xfrm flipH="1">
              <a:off x="3676650" y="5172075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4" name="Rectangle 13">
              <a:extLst>
                <a:ext uri="{FF2B5EF4-FFF2-40B4-BE49-F238E27FC236}">
                  <a16:creationId xmlns:a16="http://schemas.microsoft.com/office/drawing/2014/main" id="{00000000-0008-0000-0300-00000E000000}"/>
                </a:ext>
              </a:extLst>
            </xdr:cNvPr>
            <xdr:cNvSpPr/>
          </xdr:nvSpPr>
          <xdr:spPr>
            <a:xfrm flipH="1">
              <a:off x="3676650" y="4991100"/>
              <a:ext cx="923925" cy="219075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5" name="Group 14">
              <a:extLst>
                <a:ext uri="{FF2B5EF4-FFF2-40B4-BE49-F238E27FC236}">
                  <a16:creationId xmlns:a16="http://schemas.microsoft.com/office/drawing/2014/main" id="{00000000-0008-0000-0300-00000F000000}"/>
                </a:ext>
              </a:extLst>
            </xdr:cNvPr>
            <xdr:cNvGrpSpPr/>
          </xdr:nvGrpSpPr>
          <xdr:grpSpPr>
            <a:xfrm flipH="1">
              <a:off x="3676650" y="4067175"/>
              <a:ext cx="923925" cy="514350"/>
              <a:chOff x="3667125" y="923925"/>
              <a:chExt cx="923925" cy="514350"/>
            </a:xfrm>
          </xdr:grpSpPr>
          <xdr:sp macro="" textlink="">
            <xdr:nvSpPr>
              <xdr:cNvPr id="16" name="Rectangle 15">
                <a:extLst>
                  <a:ext uri="{FF2B5EF4-FFF2-40B4-BE49-F238E27FC236}">
                    <a16:creationId xmlns:a16="http://schemas.microsoft.com/office/drawing/2014/main" id="{00000000-0008-0000-0300-000010000000}"/>
                  </a:ext>
                </a:extLst>
              </xdr:cNvPr>
              <xdr:cNvSpPr/>
            </xdr:nvSpPr>
            <xdr:spPr>
              <a:xfrm>
                <a:off x="3667125" y="923925"/>
                <a:ext cx="923925" cy="219075"/>
              </a:xfrm>
              <a:prstGeom prst="rect">
                <a:avLst/>
              </a:prstGeom>
              <a:solidFill>
                <a:schemeClr val="accent2">
                  <a:lumMod val="5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7" name="Flowchart: Manual Input 2">
                <a:extLst>
                  <a:ext uri="{FF2B5EF4-FFF2-40B4-BE49-F238E27FC236}">
                    <a16:creationId xmlns:a16="http://schemas.microsoft.com/office/drawing/2014/main" id="{00000000-0008-0000-0300-000011000000}"/>
                  </a:ext>
                </a:extLst>
              </xdr:cNvPr>
              <xdr:cNvSpPr/>
            </xdr:nvSpPr>
            <xdr:spPr>
              <a:xfrm rot="10800000">
                <a:off x="3686174" y="1152520"/>
                <a:ext cx="886786" cy="285755"/>
              </a:xfrm>
              <a:custGeom>
                <a:avLst/>
                <a:gdLst>
                  <a:gd name="connsiteX0" fmla="*/ 0 w 10000"/>
                  <a:gd name="connsiteY0" fmla="*/ 2000 h 10000"/>
                  <a:gd name="connsiteX1" fmla="*/ 10000 w 10000"/>
                  <a:gd name="connsiteY1" fmla="*/ 0 h 10000"/>
                  <a:gd name="connsiteX2" fmla="*/ 10000 w 10000"/>
                  <a:gd name="connsiteY2" fmla="*/ 10000 h 10000"/>
                  <a:gd name="connsiteX3" fmla="*/ 0 w 10000"/>
                  <a:gd name="connsiteY3" fmla="*/ 10000 h 10000"/>
                  <a:gd name="connsiteX4" fmla="*/ 0 w 10000"/>
                  <a:gd name="connsiteY4" fmla="*/ 2000 h 10000"/>
                  <a:gd name="connsiteX0" fmla="*/ 0 w 10104"/>
                  <a:gd name="connsiteY0" fmla="*/ 4069 h 10000"/>
                  <a:gd name="connsiteX1" fmla="*/ 10104 w 10104"/>
                  <a:gd name="connsiteY1" fmla="*/ 0 h 10000"/>
                  <a:gd name="connsiteX2" fmla="*/ 10104 w 10104"/>
                  <a:gd name="connsiteY2" fmla="*/ 10000 h 10000"/>
                  <a:gd name="connsiteX3" fmla="*/ 104 w 10104"/>
                  <a:gd name="connsiteY3" fmla="*/ 10000 h 10000"/>
                  <a:gd name="connsiteX4" fmla="*/ 0 w 10104"/>
                  <a:gd name="connsiteY4" fmla="*/ 4069 h 10000"/>
                  <a:gd name="connsiteX0" fmla="*/ 316 w 10003"/>
                  <a:gd name="connsiteY0" fmla="*/ 4069 h 10000"/>
                  <a:gd name="connsiteX1" fmla="*/ 10003 w 10003"/>
                  <a:gd name="connsiteY1" fmla="*/ 0 h 10000"/>
                  <a:gd name="connsiteX2" fmla="*/ 10003 w 10003"/>
                  <a:gd name="connsiteY2" fmla="*/ 10000 h 10000"/>
                  <a:gd name="connsiteX3" fmla="*/ 3 w 10003"/>
                  <a:gd name="connsiteY3" fmla="*/ 10000 h 10000"/>
                  <a:gd name="connsiteX4" fmla="*/ 316 w 10003"/>
                  <a:gd name="connsiteY4" fmla="*/ 4069 h 10000"/>
                  <a:gd name="connsiteX0" fmla="*/ 11 w 9698"/>
                  <a:gd name="connsiteY0" fmla="*/ 4069 h 10345"/>
                  <a:gd name="connsiteX1" fmla="*/ 9698 w 9698"/>
                  <a:gd name="connsiteY1" fmla="*/ 0 h 10345"/>
                  <a:gd name="connsiteX2" fmla="*/ 9698 w 9698"/>
                  <a:gd name="connsiteY2" fmla="*/ 10000 h 10345"/>
                  <a:gd name="connsiteX3" fmla="*/ 10 w 9698"/>
                  <a:gd name="connsiteY3" fmla="*/ 10345 h 10345"/>
                  <a:gd name="connsiteX4" fmla="*/ 11 w 9698"/>
                  <a:gd name="connsiteY4" fmla="*/ 4069 h 10345"/>
                </a:gdLst>
                <a:ahLst/>
                <a:cxnLst>
                  <a:cxn ang="0">
                    <a:pos x="connsiteX0" y="connsiteY0"/>
                  </a:cxn>
                  <a:cxn ang="0">
                    <a:pos x="connsiteX1" y="connsiteY1"/>
                  </a:cxn>
                  <a:cxn ang="0">
                    <a:pos x="connsiteX2" y="connsiteY2"/>
                  </a:cxn>
                  <a:cxn ang="0">
                    <a:pos x="connsiteX3" y="connsiteY3"/>
                  </a:cxn>
                  <a:cxn ang="0">
                    <a:pos x="connsiteX4" y="connsiteY4"/>
                  </a:cxn>
                </a:cxnLst>
                <a:rect l="l" t="t" r="r" b="b"/>
                <a:pathLst>
                  <a:path w="9698" h="10345">
                    <a:moveTo>
                      <a:pt x="11" y="4069"/>
                    </a:moveTo>
                    <a:lnTo>
                      <a:pt x="9698" y="0"/>
                    </a:lnTo>
                    <a:lnTo>
                      <a:pt x="9698" y="10000"/>
                    </a:lnTo>
                    <a:lnTo>
                      <a:pt x="10" y="10345"/>
                    </a:lnTo>
                    <a:cubicBezTo>
                      <a:pt x="-25" y="8368"/>
                      <a:pt x="46" y="6046"/>
                      <a:pt x="11" y="4069"/>
                    </a:cubicBezTo>
                    <a:close/>
                  </a:path>
                </a:pathLst>
              </a:custGeom>
              <a:solidFill>
                <a:schemeClr val="accent1">
                  <a:lumMod val="20000"/>
                  <a:lumOff val="80000"/>
                </a:schemeClr>
              </a:solidFill>
            </xdr:spPr>
            <xdr:style>
              <a:lnRef idx="2">
                <a:schemeClr val="accent1">
                  <a:shade val="15000"/>
                </a:schemeClr>
              </a:lnRef>
              <a:fillRef idx="1003">
                <a:schemeClr val="lt2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8" name="Oval 17">
              <a:extLst>
                <a:ext uri="{FF2B5EF4-FFF2-40B4-BE49-F238E27FC236}">
                  <a16:creationId xmlns:a16="http://schemas.microsoft.com/office/drawing/2014/main" id="{00000000-0008-0000-0300-000012000000}"/>
                </a:ext>
              </a:extLst>
            </xdr:cNvPr>
            <xdr:cNvSpPr/>
          </xdr:nvSpPr>
          <xdr:spPr>
            <a:xfrm>
              <a:off x="3924300" y="4991100"/>
              <a:ext cx="438150" cy="409576"/>
            </a:xfrm>
            <a:prstGeom prst="ellipse">
              <a:avLst/>
            </a:prstGeom>
            <a:solidFill>
              <a:srgbClr val="00B0F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00000000-0008-0000-0300-000013000000}"/>
                </a:ext>
              </a:extLst>
            </xdr:cNvPr>
            <xdr:cNvSpPr/>
          </xdr:nvSpPr>
          <xdr:spPr>
            <a:xfrm>
              <a:off x="3676651" y="3429001"/>
              <a:ext cx="133350" cy="1965960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0" name="Rectangle 19">
              <a:extLst>
                <a:ext uri="{FF2B5EF4-FFF2-40B4-BE49-F238E27FC236}">
                  <a16:creationId xmlns:a16="http://schemas.microsoft.com/office/drawing/2014/main" id="{00000000-0008-0000-0300-000014000000}"/>
                </a:ext>
              </a:extLst>
            </xdr:cNvPr>
            <xdr:cNvSpPr/>
          </xdr:nvSpPr>
          <xdr:spPr>
            <a:xfrm>
              <a:off x="4467225" y="3429001"/>
              <a:ext cx="133350" cy="1962149"/>
            </a:xfrm>
            <a:prstGeom prst="rect">
              <a:avLst/>
            </a:prstGeom>
            <a:solidFill>
              <a:schemeClr val="accent2">
                <a:lumMod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1" name="Oval 20">
              <a:extLst>
                <a:ext uri="{FF2B5EF4-FFF2-40B4-BE49-F238E27FC236}">
                  <a16:creationId xmlns:a16="http://schemas.microsoft.com/office/drawing/2014/main" id="{00000000-0008-0000-0300-000015000000}"/>
                </a:ext>
              </a:extLst>
            </xdr:cNvPr>
            <xdr:cNvSpPr/>
          </xdr:nvSpPr>
          <xdr:spPr>
            <a:xfrm>
              <a:off x="4021409" y="5085421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2" name="Oval 21">
              <a:extLst>
                <a:ext uri="{FF2B5EF4-FFF2-40B4-BE49-F238E27FC236}">
                  <a16:creationId xmlns:a16="http://schemas.microsoft.com/office/drawing/2014/main" id="{00000000-0008-0000-0300-000016000000}"/>
                </a:ext>
              </a:extLst>
            </xdr:cNvPr>
            <xdr:cNvSpPr/>
          </xdr:nvSpPr>
          <xdr:spPr>
            <a:xfrm>
              <a:off x="4165445" y="5084492"/>
              <a:ext cx="84796" cy="85725"/>
            </a:xfrm>
            <a:prstGeom prst="ellips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3" name="Flowchart: Stored Data 22">
              <a:extLst>
                <a:ext uri="{FF2B5EF4-FFF2-40B4-BE49-F238E27FC236}">
                  <a16:creationId xmlns:a16="http://schemas.microsoft.com/office/drawing/2014/main" id="{00000000-0008-0000-0300-000017000000}"/>
                </a:ext>
              </a:extLst>
            </xdr:cNvPr>
            <xdr:cNvSpPr/>
          </xdr:nvSpPr>
          <xdr:spPr>
            <a:xfrm rot="5400000">
              <a:off x="4105043" y="5210640"/>
              <a:ext cx="70624" cy="149612"/>
            </a:xfrm>
            <a:prstGeom prst="flowChartOnlineStorage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grpSp>
        <xdr:nvGrpSpPr>
          <xdr:cNvPr id="32" name="Group 31">
            <a:extLst>
              <a:ext uri="{FF2B5EF4-FFF2-40B4-BE49-F238E27FC236}">
                <a16:creationId xmlns:a16="http://schemas.microsoft.com/office/drawing/2014/main" id="{00000000-0008-0000-0300-000020000000}"/>
              </a:ext>
            </a:extLst>
          </xdr:cNvPr>
          <xdr:cNvGrpSpPr/>
        </xdr:nvGrpSpPr>
        <xdr:grpSpPr>
          <a:xfrm>
            <a:off x="2597204" y="6070467"/>
            <a:ext cx="916482" cy="648661"/>
            <a:chOff x="3657601" y="2343150"/>
            <a:chExt cx="914400" cy="647700"/>
          </a:xfrm>
        </xdr:grpSpPr>
        <xdr:sp macro="" textlink="">
          <xdr:nvSpPr>
            <xdr:cNvPr id="33" name="Trapezoid 32">
              <a:extLst>
                <a:ext uri="{FF2B5EF4-FFF2-40B4-BE49-F238E27FC236}">
                  <a16:creationId xmlns:a16="http://schemas.microsoft.com/office/drawing/2014/main" id="{00000000-0008-0000-0300-000021000000}"/>
                </a:ext>
              </a:extLst>
            </xdr:cNvPr>
            <xdr:cNvSpPr/>
          </xdr:nvSpPr>
          <xdr:spPr>
            <a:xfrm rot="10800000">
              <a:off x="3771900" y="2400300"/>
              <a:ext cx="704850" cy="590550"/>
            </a:xfrm>
            <a:prstGeom prst="trapezoid">
              <a:avLst/>
            </a:prstGeom>
            <a:pattFill prst="pct30">
              <a:fgClr>
                <a:schemeClr val="tx1"/>
              </a:fgClr>
              <a:bgClr>
                <a:schemeClr val="bg1"/>
              </a:bgClr>
            </a:patt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34" name="Flowchart: Terminator 33">
              <a:extLst>
                <a:ext uri="{FF2B5EF4-FFF2-40B4-BE49-F238E27FC236}">
                  <a16:creationId xmlns:a16="http://schemas.microsoft.com/office/drawing/2014/main" id="{00000000-0008-0000-0300-000022000000}"/>
                </a:ext>
              </a:extLst>
            </xdr:cNvPr>
            <xdr:cNvSpPr/>
          </xdr:nvSpPr>
          <xdr:spPr>
            <a:xfrm>
              <a:off x="3657601" y="2343150"/>
              <a:ext cx="914400" cy="85725"/>
            </a:xfrm>
            <a:prstGeom prst="flowChartTerminator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45" name="Straight Connector 44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CxnSpPr/>
        </xdr:nvCxnSpPr>
        <xdr:spPr>
          <a:xfrm>
            <a:off x="3410372" y="517031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6" name="Straight Connector 45">
            <a:extLst>
              <a:ext uri="{FF2B5EF4-FFF2-40B4-BE49-F238E27FC236}">
                <a16:creationId xmlns:a16="http://schemas.microsoft.com/office/drawing/2014/main" id="{00000000-0008-0000-0300-00002E000000}"/>
              </a:ext>
            </a:extLst>
          </xdr:cNvPr>
          <xdr:cNvCxnSpPr/>
        </xdr:nvCxnSpPr>
        <xdr:spPr>
          <a:xfrm>
            <a:off x="3410372" y="493899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7" name="Straight Connector 46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CxnSpPr/>
        </xdr:nvCxnSpPr>
        <xdr:spPr>
          <a:xfrm>
            <a:off x="3410372" y="5270613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8" name="Straight Connector 47">
            <a:extLst>
              <a:ext uri="{FF2B5EF4-FFF2-40B4-BE49-F238E27FC236}">
                <a16:creationId xmlns:a16="http://schemas.microsoft.com/office/drawing/2014/main" id="{00000000-0008-0000-0300-000030000000}"/>
              </a:ext>
            </a:extLst>
          </xdr:cNvPr>
          <xdr:cNvCxnSpPr/>
        </xdr:nvCxnSpPr>
        <xdr:spPr>
          <a:xfrm>
            <a:off x="3410372" y="504881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9" name="Straight Connector 48">
            <a:extLst>
              <a:ext uri="{FF2B5EF4-FFF2-40B4-BE49-F238E27FC236}">
                <a16:creationId xmlns:a16="http://schemas.microsoft.com/office/drawing/2014/main" id="{00000000-0008-0000-0300-000031000000}"/>
              </a:ext>
            </a:extLst>
          </xdr:cNvPr>
          <xdr:cNvCxnSpPr/>
        </xdr:nvCxnSpPr>
        <xdr:spPr>
          <a:xfrm>
            <a:off x="3410372" y="4805587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Connector 52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/>
        </xdr:nvCxnSpPr>
        <xdr:spPr>
          <a:xfrm>
            <a:off x="3410372" y="46981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Connector 53">
            <a:extLst>
              <a:ext uri="{FF2B5EF4-FFF2-40B4-BE49-F238E27FC236}">
                <a16:creationId xmlns:a16="http://schemas.microsoft.com/office/drawing/2014/main" id="{00000000-0008-0000-0300-000036000000}"/>
              </a:ext>
            </a:extLst>
          </xdr:cNvPr>
          <xdr:cNvCxnSpPr/>
        </xdr:nvCxnSpPr>
        <xdr:spPr>
          <a:xfrm>
            <a:off x="3410372" y="4476356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Connector 54">
            <a:extLst>
              <a:ext uri="{FF2B5EF4-FFF2-40B4-BE49-F238E27FC236}">
                <a16:creationId xmlns:a16="http://schemas.microsoft.com/office/drawing/2014/main" id="{00000000-0008-0000-0300-000037000000}"/>
              </a:ext>
            </a:extLst>
          </xdr:cNvPr>
          <xdr:cNvCxnSpPr/>
        </xdr:nvCxnSpPr>
        <xdr:spPr>
          <a:xfrm>
            <a:off x="3410372" y="4245034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Connector 55">
            <a:extLst>
              <a:ext uri="{FF2B5EF4-FFF2-40B4-BE49-F238E27FC236}">
                <a16:creationId xmlns:a16="http://schemas.microsoft.com/office/drawing/2014/main" id="{00000000-0008-0000-0300-000038000000}"/>
              </a:ext>
            </a:extLst>
          </xdr:cNvPr>
          <xdr:cNvCxnSpPr/>
        </xdr:nvCxnSpPr>
        <xdr:spPr>
          <a:xfrm>
            <a:off x="3410372" y="4576649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Connector 5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CxnSpPr/>
        </xdr:nvCxnSpPr>
        <xdr:spPr>
          <a:xfrm>
            <a:off x="3410372" y="4354852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8" name="Straight Connector 57">
            <a:extLst>
              <a:ext uri="{FF2B5EF4-FFF2-40B4-BE49-F238E27FC236}">
                <a16:creationId xmlns:a16="http://schemas.microsoft.com/office/drawing/2014/main" id="{00000000-0008-0000-0300-00003A000000}"/>
              </a:ext>
            </a:extLst>
          </xdr:cNvPr>
          <xdr:cNvCxnSpPr/>
        </xdr:nvCxnSpPr>
        <xdr:spPr>
          <a:xfrm>
            <a:off x="3410372" y="4123530"/>
            <a:ext cx="87887" cy="0"/>
          </a:xfrm>
          <a:prstGeom prst="line">
            <a:avLst/>
          </a:prstGeom>
          <a:ln>
            <a:solidFill>
              <a:srgbClr val="C0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Arrow: Right 99">
            <a:extLst>
              <a:ext uri="{FF2B5EF4-FFF2-40B4-BE49-F238E27FC236}">
                <a16:creationId xmlns:a16="http://schemas.microsoft.com/office/drawing/2014/main" id="{00000000-0008-0000-0300-000064000000}"/>
              </a:ext>
            </a:extLst>
          </xdr:cNvPr>
          <xdr:cNvSpPr/>
        </xdr:nvSpPr>
        <xdr:spPr>
          <a:xfrm>
            <a:off x="3077063" y="4763627"/>
            <a:ext cx="303125" cy="67407"/>
          </a:xfrm>
          <a:prstGeom prst="rightArrow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</xdr:colOff>
      <xdr:row>1</xdr:row>
      <xdr:rowOff>123825</xdr:rowOff>
    </xdr:from>
    <xdr:to>
      <xdr:col>23</xdr:col>
      <xdr:colOff>19050</xdr:colOff>
      <xdr:row>17</xdr:row>
      <xdr:rowOff>133350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6E241424-8FA3-3BA8-44A7-F2169D440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9925" y="3524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180705</xdr:colOff>
      <xdr:row>12</xdr:row>
      <xdr:rowOff>85575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00000000-0008-0000-0400-000002000000}"/>
                </a:ext>
              </a:extLst>
            </xdr14:cNvPr>
            <xdr14:cNvContentPartPr/>
          </xdr14:nvContentPartPr>
          <xdr14:nvPr macro=""/>
          <xdr14:xfrm>
            <a:off x="4628880" y="1962000"/>
            <a:ext cx="360" cy="36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72AA475C-02E1-2180-0BA9-B64FF8A337B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622760" y="19558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</xdr:col>
      <xdr:colOff>180705</xdr:colOff>
      <xdr:row>29</xdr:row>
      <xdr:rowOff>85575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14:cNvPr>
            <xdr14:cNvContentPartPr/>
          </xdr14:nvContentPartPr>
          <xdr14:nvPr macro=""/>
          <xdr14:xfrm>
            <a:off x="4628880" y="1962000"/>
            <a:ext cx="360" cy="36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72AA475C-02E1-2180-0BA9-B64FF8A337B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622760" y="19558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59</xdr:col>
      <xdr:colOff>118782</xdr:colOff>
      <xdr:row>3</xdr:row>
      <xdr:rowOff>80122</xdr:rowOff>
    </xdr:from>
    <xdr:to>
      <xdr:col>73</xdr:col>
      <xdr:colOff>163606</xdr:colOff>
      <xdr:row>18</xdr:row>
      <xdr:rowOff>80122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3606182" y="765922"/>
          <a:ext cx="3245224" cy="342900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66</xdr:col>
      <xdr:colOff>29620</xdr:colOff>
      <xdr:row>7</xdr:row>
      <xdr:rowOff>16366</xdr:rowOff>
    </xdr:from>
    <xdr:to>
      <xdr:col>73</xdr:col>
      <xdr:colOff>19684</xdr:colOff>
      <xdr:row>11</xdr:row>
      <xdr:rowOff>57589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5117220" y="1616566"/>
          <a:ext cx="1590264" cy="955623"/>
        </a:xfrm>
        <a:prstGeom prst="rect">
          <a:avLst/>
        </a:prstGeom>
        <a:noFill/>
        <a:ln>
          <a:solidFill>
            <a:schemeClr val="tx1"/>
          </a:solidFill>
        </a:ln>
      </xdr:spPr>
      <xdr:txBody>
        <a:bodyPr wrap="none" lIns="91440" tIns="45720" rIns="91440" bIns="45720">
          <a:noAutofit/>
        </a:bodyPr>
        <a:lstStyle/>
        <a:p>
          <a:pPr algn="ctr"/>
          <a:r>
            <a:rPr lang="en-US" sz="54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word</a:t>
          </a:r>
        </a:p>
      </xdr:txBody>
    </xdr:sp>
    <xdr:clientData/>
  </xdr:twoCellAnchor>
  <xdr:twoCellAnchor>
    <xdr:from>
      <xdr:col>67</xdr:col>
      <xdr:colOff>115419</xdr:colOff>
      <xdr:row>13</xdr:row>
      <xdr:rowOff>174810</xdr:rowOff>
    </xdr:from>
    <xdr:to>
      <xdr:col>71</xdr:col>
      <xdr:colOff>133349</xdr:colOff>
      <xdr:row>17</xdr:row>
      <xdr:rowOff>192739</xdr:rowOff>
    </xdr:to>
    <xdr:pic>
      <xdr:nvPicPr>
        <xdr:cNvPr id="9" name="Graphic 8" descr="Right pointing backhand index with solid fill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 rot="16200000">
          <a:off x="15431619" y="3146610"/>
          <a:ext cx="932329" cy="932330"/>
        </a:xfrm>
        <a:prstGeom prst="rect">
          <a:avLst/>
        </a:prstGeom>
      </xdr:spPr>
    </xdr:pic>
    <xdr:clientData/>
  </xdr:twoCellAnchor>
  <xdr:twoCellAnchor editAs="oneCell">
    <xdr:from>
      <xdr:col>0</xdr:col>
      <xdr:colOff>224117</xdr:colOff>
      <xdr:row>7</xdr:row>
      <xdr:rowOff>216215</xdr:rowOff>
    </xdr:from>
    <xdr:to>
      <xdr:col>2</xdr:col>
      <xdr:colOff>21156</xdr:colOff>
      <xdr:row>9</xdr:row>
      <xdr:rowOff>13254</xdr:rowOff>
    </xdr:to>
    <xdr:pic>
      <xdr:nvPicPr>
        <xdr:cNvPr id="36" name="Graphic 6" descr="Map compass with solid fill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24117" y="1560921"/>
          <a:ext cx="245274" cy="245274"/>
        </a:xfrm>
        <a:prstGeom prst="rect">
          <a:avLst/>
        </a:prstGeom>
      </xdr:spPr>
    </xdr:pic>
    <xdr:clientData/>
  </xdr:twoCellAnchor>
  <xdr:twoCellAnchor>
    <xdr:from>
      <xdr:col>6</xdr:col>
      <xdr:colOff>201704</xdr:colOff>
      <xdr:row>4</xdr:row>
      <xdr:rowOff>211733</xdr:rowOff>
    </xdr:from>
    <xdr:to>
      <xdr:col>9</xdr:col>
      <xdr:colOff>220621</xdr:colOff>
      <xdr:row>8</xdr:row>
      <xdr:rowOff>22218</xdr:rowOff>
    </xdr:to>
    <xdr:grpSp>
      <xdr:nvGrpSpPr>
        <xdr:cNvPr id="51" name="Group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pSpPr/>
      </xdr:nvGrpSpPr>
      <xdr:grpSpPr>
        <a:xfrm>
          <a:off x="1573304" y="1126133"/>
          <a:ext cx="704717" cy="724885"/>
          <a:chOff x="1567728" y="894745"/>
          <a:chExt cx="701930" cy="721168"/>
        </a:xfrm>
      </xdr:grpSpPr>
      <xdr:pic>
        <xdr:nvPicPr>
          <xdr:cNvPr id="17" name="Graphic 16" descr="Add with solid fill">
            <a:extLst>
              <a:ext uri="{FF2B5EF4-FFF2-40B4-BE49-F238E27FC236}">
                <a16:creationId xmlns:a16="http://schemas.microsoft.com/office/drawing/2014/main" id="{00000000-0008-0000-0400-000011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897776"/>
            <a:ext cx="240841" cy="244395"/>
          </a:xfrm>
          <a:prstGeom prst="rect">
            <a:avLst/>
          </a:prstGeom>
        </xdr:spPr>
      </xdr:pic>
      <xdr:pic>
        <xdr:nvPicPr>
          <xdr:cNvPr id="22" name="Graphic 21" descr="Add with solid fill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1133572"/>
            <a:ext cx="240841" cy="242292"/>
          </a:xfrm>
          <a:prstGeom prst="rect">
            <a:avLst/>
          </a:prstGeom>
        </xdr:spPr>
      </xdr:pic>
      <xdr:pic>
        <xdr:nvPicPr>
          <xdr:cNvPr id="25" name="Graphic 24" descr="Add with solid fill">
            <a:extLst>
              <a:ext uri="{FF2B5EF4-FFF2-40B4-BE49-F238E27FC236}">
                <a16:creationId xmlns:a16="http://schemas.microsoft.com/office/drawing/2014/main" id="{00000000-0008-0000-0400-00001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567728" y="1355360"/>
            <a:ext cx="240841" cy="244393"/>
          </a:xfrm>
          <a:prstGeom prst="rect">
            <a:avLst/>
          </a:prstGeom>
        </xdr:spPr>
      </xdr:pic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00000000-0008-0000-0400-00002D000000}"/>
              </a:ext>
            </a:extLst>
          </xdr:cNvPr>
          <xdr:cNvGrpSpPr/>
        </xdr:nvGrpSpPr>
        <xdr:grpSpPr>
          <a:xfrm flipH="1">
            <a:off x="1803027" y="894745"/>
            <a:ext cx="466631" cy="721168"/>
            <a:chOff x="1818729" y="901474"/>
            <a:chExt cx="471116" cy="730141"/>
          </a:xfrm>
        </xdr:grpSpPr>
        <xdr:pic>
          <xdr:nvPicPr>
            <xdr:cNvPr id="19" name="Graphic 18" descr="Close with solid fill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907413"/>
              <a:ext cx="243084" cy="248881"/>
            </a:xfrm>
            <a:prstGeom prst="rect">
              <a:avLst/>
            </a:prstGeom>
          </xdr:spPr>
        </xdr:pic>
        <xdr:pic>
          <xdr:nvPicPr>
            <xdr:cNvPr id="23" name="Graphic 22" descr="Close with solid fill">
              <a:extLst>
                <a:ext uri="{FF2B5EF4-FFF2-40B4-BE49-F238E27FC236}">
                  <a16:creationId xmlns:a16="http://schemas.microsoft.com/office/drawing/2014/main" id="{00000000-0008-0000-0400-000017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139499"/>
              <a:ext cx="243084" cy="246779"/>
            </a:xfrm>
            <a:prstGeom prst="rect">
              <a:avLst/>
            </a:prstGeom>
          </xdr:spPr>
        </xdr:pic>
        <xdr:pic>
          <xdr:nvPicPr>
            <xdr:cNvPr id="26" name="Graphic 25" descr="Close with solid fill">
              <a:extLst>
                <a:ext uri="{FF2B5EF4-FFF2-40B4-BE49-F238E27FC236}">
                  <a16:creationId xmlns:a16="http://schemas.microsoft.com/office/drawing/2014/main" id="{00000000-0008-0000-0400-00001A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1818729" y="1369483"/>
              <a:ext cx="243084" cy="248880"/>
            </a:xfrm>
            <a:prstGeom prst="rect">
              <a:avLst/>
            </a:prstGeom>
          </xdr:spPr>
        </xdr:pic>
        <xdr:pic>
          <xdr:nvPicPr>
            <xdr:cNvPr id="42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A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2038775" y="901474"/>
              <a:ext cx="251070" cy="256867"/>
            </a:xfrm>
            <a:prstGeom prst="rect">
              <a:avLst/>
            </a:prstGeom>
          </xdr:spPr>
        </xdr:pic>
        <xdr:pic>
          <xdr:nvPicPr>
            <xdr:cNvPr id="43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2038775" y="1138111"/>
              <a:ext cx="251070" cy="256867"/>
            </a:xfrm>
            <a:prstGeom prst="rect">
              <a:avLst/>
            </a:prstGeom>
          </xdr:spPr>
        </xdr:pic>
        <xdr:pic>
          <xdr:nvPicPr>
            <xdr:cNvPr id="44" name="Graphic 6" descr="Map compass with solid fill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2038775" y="1380545"/>
              <a:ext cx="251070" cy="25107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60</xdr:col>
      <xdr:colOff>103790</xdr:colOff>
      <xdr:row>11</xdr:row>
      <xdr:rowOff>203967</xdr:rowOff>
    </xdr:from>
    <xdr:to>
      <xdr:col>66</xdr:col>
      <xdr:colOff>158661</xdr:colOff>
      <xdr:row>14</xdr:row>
      <xdr:rowOff>208990</xdr:rowOff>
    </xdr:to>
    <xdr:grpSp>
      <xdr:nvGrpSpPr>
        <xdr:cNvPr id="46" name="Group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pSpPr/>
      </xdr:nvGrpSpPr>
      <xdr:grpSpPr>
        <a:xfrm>
          <a:off x="13819790" y="2718567"/>
          <a:ext cx="1426471" cy="690823"/>
          <a:chOff x="6202454" y="2568388"/>
          <a:chExt cx="1434354" cy="694764"/>
        </a:xfrm>
      </xdr:grpSpPr>
      <xdr:grpSp>
        <xdr:nvGrpSpPr>
          <xdr:cNvPr id="47" name="Group 46">
            <a:extLst>
              <a:ext uri="{FF2B5EF4-FFF2-40B4-BE49-F238E27FC236}">
                <a16:creationId xmlns:a16="http://schemas.microsoft.com/office/drawing/2014/main" id="{00000000-0008-0000-0400-00002F000000}"/>
              </a:ext>
            </a:extLst>
          </xdr:cNvPr>
          <xdr:cNvGrpSpPr/>
        </xdr:nvGrpSpPr>
        <xdr:grpSpPr>
          <a:xfrm>
            <a:off x="6202454" y="2568388"/>
            <a:ext cx="1434354" cy="694764"/>
            <a:chOff x="6202454" y="2568388"/>
            <a:chExt cx="1434354" cy="694764"/>
          </a:xfrm>
        </xdr:grpSpPr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00000000-0008-0000-0400-000031000000}"/>
                </a:ext>
              </a:extLst>
            </xdr:cNvPr>
            <xdr:cNvSpPr/>
          </xdr:nvSpPr>
          <xdr:spPr>
            <a:xfrm>
              <a:off x="6202454" y="2568388"/>
              <a:ext cx="1434354" cy="212911"/>
            </a:xfrm>
            <a:prstGeom prst="rect">
              <a:avLst/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en-US" sz="1100">
                  <a:solidFill>
                    <a:schemeClr val="tx1"/>
                  </a:solidFill>
                </a:rPr>
                <a:t>ca</a:t>
              </a:r>
            </a:p>
          </xdr:txBody>
        </xdr:sp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00000000-0008-0000-0400-000032000000}"/>
                </a:ext>
              </a:extLst>
            </xdr:cNvPr>
            <xdr:cNvSpPr/>
          </xdr:nvSpPr>
          <xdr:spPr>
            <a:xfrm>
              <a:off x="6236073" y="2776817"/>
              <a:ext cx="1367118" cy="486335"/>
            </a:xfrm>
            <a:prstGeom prst="rect">
              <a:avLst/>
            </a:prstGeom>
            <a:solidFill>
              <a:schemeClr val="bg2">
                <a:lumMod val="90000"/>
              </a:schemeClr>
            </a:solidFill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n-US" sz="1100">
                <a:solidFill>
                  <a:schemeClr val="tx1"/>
                </a:solidFill>
              </a:endParaRPr>
            </a:p>
          </xdr:txBody>
        </xdr:sp>
      </xdr:grpSp>
      <xdr:pic>
        <xdr:nvPicPr>
          <xdr:cNvPr id="48" name="Picture 47">
            <a:extLst>
              <a:ext uri="{FF2B5EF4-FFF2-40B4-BE49-F238E27FC236}">
                <a16:creationId xmlns:a16="http://schemas.microsoft.com/office/drawing/2014/main" id="{00000000-0008-0000-0400-000030000000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7"/>
          <a:srcRect l="1" r="-29138" b="75534"/>
          <a:stretch>
            <a:fillRect/>
          </a:stretch>
        </xdr:blipFill>
        <xdr:spPr>
          <a:xfrm>
            <a:off x="6298824" y="2788023"/>
            <a:ext cx="307043" cy="441512"/>
          </a:xfrm>
          <a:prstGeom prst="rect">
            <a:avLst/>
          </a:prstGeom>
        </xdr:spPr>
      </xdr:pic>
    </xdr:grpSp>
    <xdr:clientData/>
  </xdr:twoCellAnchor>
  <xdr:twoCellAnchor>
    <xdr:from>
      <xdr:col>14</xdr:col>
      <xdr:colOff>28357</xdr:colOff>
      <xdr:row>5</xdr:row>
      <xdr:rowOff>142874</xdr:rowOff>
    </xdr:from>
    <xdr:to>
      <xdr:col>19</xdr:col>
      <xdr:colOff>182294</xdr:colOff>
      <xdr:row>8</xdr:row>
      <xdr:rowOff>85165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75AF8253-72B3-D836-BCCA-DFA362E0C527}"/>
            </a:ext>
          </a:extLst>
        </xdr:cNvPr>
        <xdr:cNvGrpSpPr/>
      </xdr:nvGrpSpPr>
      <xdr:grpSpPr>
        <a:xfrm>
          <a:off x="3228757" y="1285874"/>
          <a:ext cx="1296937" cy="628091"/>
          <a:chOff x="6202454" y="2568388"/>
          <a:chExt cx="1434354" cy="694764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25FBE779-C257-18DB-3CB3-CE304C6AFF3B}"/>
              </a:ext>
            </a:extLst>
          </xdr:cNvPr>
          <xdr:cNvGrpSpPr/>
        </xdr:nvGrpSpPr>
        <xdr:grpSpPr>
          <a:xfrm>
            <a:off x="6202454" y="2568388"/>
            <a:ext cx="1434354" cy="694764"/>
            <a:chOff x="6202454" y="2568388"/>
            <a:chExt cx="1434354" cy="694764"/>
          </a:xfrm>
        </xdr:grpSpPr>
        <xdr:sp macro="" textlink="">
          <xdr:nvSpPr>
            <xdr:cNvPr id="16" name="Rectangle 15">
              <a:extLst>
                <a:ext uri="{FF2B5EF4-FFF2-40B4-BE49-F238E27FC236}">
                  <a16:creationId xmlns:a16="http://schemas.microsoft.com/office/drawing/2014/main" id="{1494B5AA-7D75-28EF-CC63-0E871D5B47A0}"/>
                </a:ext>
              </a:extLst>
            </xdr:cNvPr>
            <xdr:cNvSpPr/>
          </xdr:nvSpPr>
          <xdr:spPr>
            <a:xfrm>
              <a:off x="6202454" y="2568388"/>
              <a:ext cx="1434354" cy="212911"/>
            </a:xfrm>
            <a:prstGeom prst="rect">
              <a:avLst/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en-US" sz="1400">
                  <a:solidFill>
                    <a:schemeClr val="tx1"/>
                  </a:solidFill>
                </a:rPr>
                <a:t>ca</a:t>
              </a:r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2164179B-7C80-2517-FCC4-CF9F58B5AA01}"/>
                </a:ext>
              </a:extLst>
            </xdr:cNvPr>
            <xdr:cNvSpPr/>
          </xdr:nvSpPr>
          <xdr:spPr>
            <a:xfrm>
              <a:off x="6236073" y="2776817"/>
              <a:ext cx="1367118" cy="486335"/>
            </a:xfrm>
            <a:prstGeom prst="rect">
              <a:avLst/>
            </a:prstGeom>
            <a:solidFill>
              <a:schemeClr val="bg2">
                <a:lumMod val="90000"/>
              </a:schemeClr>
            </a:solidFill>
            <a:ln w="317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rot="0" spcFirstLastPara="0" vert="horz" wrap="square" lIns="91440" tIns="45720" rIns="91440" bIns="45720" numCol="1" spcCol="0" rtlCol="0" fromWordArt="0" anchor="t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marL="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indent="0" algn="l" defTabSz="914400" rtl="0" eaLnBrk="1" latinLnBrk="0" hangingPunct="1">
                <a:defRPr sz="11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endParaRPr lang="en-US" sz="1100">
                <a:solidFill>
                  <a:schemeClr val="tx1"/>
                </a:solidFill>
              </a:endParaRPr>
            </a:p>
          </xdr:txBody>
        </xdr:sp>
      </xdr:grpSp>
      <xdr:pic>
        <xdr:nvPicPr>
          <xdr:cNvPr id="15" name="Picture 14">
            <a:extLst>
              <a:ext uri="{FF2B5EF4-FFF2-40B4-BE49-F238E27FC236}">
                <a16:creationId xmlns:a16="http://schemas.microsoft.com/office/drawing/2014/main" id="{50662CBF-ECB4-230E-486E-063E6C570B7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7"/>
          <a:srcRect l="1" r="-29138" b="75534"/>
          <a:stretch>
            <a:fillRect/>
          </a:stretch>
        </xdr:blipFill>
        <xdr:spPr>
          <a:xfrm>
            <a:off x="6298824" y="2788023"/>
            <a:ext cx="307043" cy="441512"/>
          </a:xfrm>
          <a:prstGeom prst="rect">
            <a:avLst/>
          </a:prstGeom>
        </xdr:spPr>
      </xdr:pic>
    </xdr:grpSp>
    <xdr:clientData/>
  </xdr:twoCellAnchor>
  <xdr:twoCellAnchor>
    <xdr:from>
      <xdr:col>60</xdr:col>
      <xdr:colOff>28358</xdr:colOff>
      <xdr:row>4</xdr:row>
      <xdr:rowOff>38099</xdr:rowOff>
    </xdr:from>
    <xdr:to>
      <xdr:col>65</xdr:col>
      <xdr:colOff>182295</xdr:colOff>
      <xdr:row>6</xdr:row>
      <xdr:rowOff>208990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6FF39F13-63E0-115D-F94A-1CE5328DEEA4}"/>
            </a:ext>
          </a:extLst>
        </xdr:cNvPr>
        <xdr:cNvGrpSpPr/>
      </xdr:nvGrpSpPr>
      <xdr:grpSpPr>
        <a:xfrm>
          <a:off x="13744358" y="952499"/>
          <a:ext cx="1296937" cy="628091"/>
          <a:chOff x="9731418" y="1683356"/>
          <a:chExt cx="1434354" cy="694764"/>
        </a:xfrm>
      </xdr:grpSpPr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CD8DDCAE-FB0D-8EF0-7209-99B58CEAF098}"/>
              </a:ext>
            </a:extLst>
          </xdr:cNvPr>
          <xdr:cNvSpPr/>
        </xdr:nvSpPr>
        <xdr:spPr>
          <a:xfrm>
            <a:off x="9731418" y="1683356"/>
            <a:ext cx="1434354" cy="212911"/>
          </a:xfrm>
          <a:prstGeom prst="rect">
            <a:avLst/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en-US" sz="1100">
                <a:solidFill>
                  <a:schemeClr val="tx1"/>
                </a:solidFill>
              </a:rPr>
              <a:t>mO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CC1C973E-2B32-4568-217E-05562E9CA482}"/>
              </a:ext>
            </a:extLst>
          </xdr:cNvPr>
          <xdr:cNvSpPr/>
        </xdr:nvSpPr>
        <xdr:spPr>
          <a:xfrm>
            <a:off x="9765037" y="1891785"/>
            <a:ext cx="1367117" cy="486335"/>
          </a:xfrm>
          <a:prstGeom prst="rect">
            <a:avLst/>
          </a:prstGeom>
          <a:solidFill>
            <a:schemeClr val="bg2">
              <a:lumMod val="90000"/>
            </a:schemeClr>
          </a:solidFill>
          <a:ln w="317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24</xdr:col>
      <xdr:colOff>133350</xdr:colOff>
      <xdr:row>1</xdr:row>
      <xdr:rowOff>123825</xdr:rowOff>
    </xdr:from>
    <xdr:to>
      <xdr:col>33</xdr:col>
      <xdr:colOff>142875</xdr:colOff>
      <xdr:row>17</xdr:row>
      <xdr:rowOff>133350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9CE0C221-3F38-F2EE-282C-B1068AEA8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0" y="3524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60</xdr:col>
      <xdr:colOff>104775</xdr:colOff>
      <xdr:row>5</xdr:row>
      <xdr:rowOff>38100</xdr:rowOff>
    </xdr:from>
    <xdr:to>
      <xdr:col>62</xdr:col>
      <xdr:colOff>95250</xdr:colOff>
      <xdr:row>6</xdr:row>
      <xdr:rowOff>190500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48EBBF8A-E4E4-0C02-2068-F0500454597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t="18367" r="4081" b="-1"/>
        <a:stretch>
          <a:fillRect/>
        </a:stretch>
      </xdr:blipFill>
      <xdr:spPr bwMode="auto">
        <a:xfrm>
          <a:off x="13820775" y="1181100"/>
          <a:ext cx="447675" cy="38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133350</xdr:colOff>
      <xdr:row>6</xdr:row>
      <xdr:rowOff>133350</xdr:rowOff>
    </xdr:from>
    <xdr:to>
      <xdr:col>30</xdr:col>
      <xdr:colOff>72504</xdr:colOff>
      <xdr:row>9</xdr:row>
      <xdr:rowOff>87685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936E4D5-16B7-3C81-E03D-4551420D7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5619750" y="1504950"/>
          <a:ext cx="1310754" cy="640135"/>
        </a:xfrm>
        <a:prstGeom prst="rect">
          <a:avLst/>
        </a:prstGeom>
      </xdr:spPr>
    </xdr:pic>
    <xdr:clientData/>
  </xdr:twoCellAnchor>
  <xdr:twoCellAnchor editAs="oneCell">
    <xdr:from>
      <xdr:col>33</xdr:col>
      <xdr:colOff>200025</xdr:colOff>
      <xdr:row>1</xdr:row>
      <xdr:rowOff>114300</xdr:rowOff>
    </xdr:from>
    <xdr:to>
      <xdr:col>42</xdr:col>
      <xdr:colOff>209550</xdr:colOff>
      <xdr:row>17</xdr:row>
      <xdr:rowOff>123825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6B44EB89-816A-839F-55DF-E8FB1EEA4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3429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85725</xdr:colOff>
      <xdr:row>11</xdr:row>
      <xdr:rowOff>29135</xdr:rowOff>
    </xdr:from>
    <xdr:to>
      <xdr:col>8</xdr:col>
      <xdr:colOff>115981</xdr:colOff>
      <xdr:row>13</xdr:row>
      <xdr:rowOff>59391</xdr:rowOff>
    </xdr:to>
    <xdr:pic>
      <xdr:nvPicPr>
        <xdr:cNvPr id="30" name="Graphic 29" descr="Cursor with solid fill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1457325" y="2543735"/>
          <a:ext cx="487456" cy="487456"/>
        </a:xfrm>
        <a:prstGeom prst="rect">
          <a:avLst/>
        </a:prstGeom>
      </xdr:spPr>
    </xdr:pic>
    <xdr:clientData/>
  </xdr:twoCellAnchor>
  <xdr:twoCellAnchor editAs="oneCell">
    <xdr:from>
      <xdr:col>43</xdr:col>
      <xdr:colOff>38100</xdr:colOff>
      <xdr:row>1</xdr:row>
      <xdr:rowOff>114300</xdr:rowOff>
    </xdr:from>
    <xdr:to>
      <xdr:col>52</xdr:col>
      <xdr:colOff>47625</xdr:colOff>
      <xdr:row>17</xdr:row>
      <xdr:rowOff>123825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21CB0241-62FA-6692-2002-3760F5FC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7900" y="3429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17</xdr:row>
      <xdr:rowOff>200025</xdr:rowOff>
    </xdr:from>
    <xdr:to>
      <xdr:col>23</xdr:col>
      <xdr:colOff>9525</xdr:colOff>
      <xdr:row>33</xdr:row>
      <xdr:rowOff>209550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7CA3F26D-F625-E4D1-9AD1-DBA13C9F7F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133350</xdr:colOff>
      <xdr:row>17</xdr:row>
      <xdr:rowOff>200025</xdr:rowOff>
    </xdr:from>
    <xdr:to>
      <xdr:col>33</xdr:col>
      <xdr:colOff>142875</xdr:colOff>
      <xdr:row>33</xdr:row>
      <xdr:rowOff>209550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C9318F00-EF7E-3690-8E9C-19E39E8322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33</xdr:col>
      <xdr:colOff>209550</xdr:colOff>
      <xdr:row>17</xdr:row>
      <xdr:rowOff>200025</xdr:rowOff>
    </xdr:from>
    <xdr:to>
      <xdr:col>42</xdr:col>
      <xdr:colOff>219075</xdr:colOff>
      <xdr:row>33</xdr:row>
      <xdr:rowOff>209550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3F96CAE1-63C6-F57B-B909-BF0A309E36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5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43</xdr:col>
      <xdr:colOff>38100</xdr:colOff>
      <xdr:row>17</xdr:row>
      <xdr:rowOff>200025</xdr:rowOff>
    </xdr:from>
    <xdr:to>
      <xdr:col>52</xdr:col>
      <xdr:colOff>47625</xdr:colOff>
      <xdr:row>33</xdr:row>
      <xdr:rowOff>209550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4727C65E-4185-F3EE-8687-DF47BB73C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67900" y="4086225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35</xdr:row>
      <xdr:rowOff>0</xdr:rowOff>
    </xdr:from>
    <xdr:to>
      <xdr:col>23</xdr:col>
      <xdr:colOff>9525</xdr:colOff>
      <xdr:row>51</xdr:row>
      <xdr:rowOff>9525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58574101-BF46-EC26-C723-52A8C35F01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80010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123825</xdr:colOff>
      <xdr:row>35</xdr:row>
      <xdr:rowOff>0</xdr:rowOff>
    </xdr:from>
    <xdr:to>
      <xdr:col>33</xdr:col>
      <xdr:colOff>133350</xdr:colOff>
      <xdr:row>51</xdr:row>
      <xdr:rowOff>9525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3349C694-907A-8B19-7C74-95C898407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0225" y="8001000"/>
          <a:ext cx="2066925" cy="3667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3T10:23:48.67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3T10:23:48.67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24575,'0'0'-8191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48FBE4-171F-4AA1-B2C0-E11F9C4D3EA9}" name="Table1" displayName="Table1" ref="AA1:AF27" totalsRowShown="0" headerRowDxfId="27" dataDxfId="26">
  <autoFilter ref="AA1:AF27" xr:uid="{4C48FBE4-171F-4AA1-B2C0-E11F9C4D3EA9}"/>
  <tableColumns count="6">
    <tableColumn id="1" xr3:uid="{51D50E7D-ABCF-48A4-BB1C-73C438D90A91}" name="PLAYER" dataDxfId="25"/>
    <tableColumn id="5" xr3:uid="{73C3B5C0-325E-499E-B571-3EEE2E5D8B8D}" name="TURN" dataDxfId="23"/>
    <tableColumn id="10" xr3:uid="{7466F9D8-0DC7-4857-A62A-A8EE4A7178D7}" name="MOVE" dataDxfId="19"/>
    <tableColumn id="2" xr3:uid="{5ABFA42C-9E92-458E-9C9B-8C045746C476}" name="TYPE" dataDxfId="24"/>
    <tableColumn id="4" xr3:uid="{9819A3A1-F52E-4273-A4F7-534CDE7F169F}" name="GUESS" dataDxfId="29"/>
    <tableColumn id="3" xr3:uid="{FF629767-ABF8-4668-B0D1-73D304120D9A}" name="STATUS" dataDxfId="2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27BBD2-40C1-427E-9C0A-AF7E1339FDC8}" name="Table2" displayName="Table2" ref="AW1:BB52" totalsRowShown="0" headerRowDxfId="12" dataDxfId="11" headerRowBorderDxfId="21" tableBorderDxfId="22" totalsRowBorderDxfId="20">
  <autoFilter ref="AW1:BB52" xr:uid="{3227BBD2-40C1-427E-9C0A-AF7E1339FDC8}"/>
  <tableColumns count="6">
    <tableColumn id="1" xr3:uid="{0E990B6A-73AD-4293-96FD-C7BD0B41CF3B}" name="PLAYER" dataDxfId="18"/>
    <tableColumn id="2" xr3:uid="{622040AD-A4B1-4085-8119-CCB95F988E8E}" name="TURN" dataDxfId="17"/>
    <tableColumn id="6" xr3:uid="{D6F16F52-C03A-46B4-911E-501992A9F4A1}" name="Move" dataDxfId="16"/>
    <tableColumn id="3" xr3:uid="{005BD601-C046-4BB7-8EA7-18A6F91EF9AD}" name="TYPE" dataDxfId="15"/>
    <tableColumn id="4" xr3:uid="{2B12DD3C-1DD2-4201-A76A-F21B9A8E19A5}" name="GUESS" dataDxfId="14"/>
    <tableColumn id="5" xr3:uid="{012860E1-B817-40C4-ABB6-E7BB93E71E77}" name="STATUS" dataDxfId="1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967F7D-6745-4FBF-AC66-ED02FEC44D37}" name="Table24" displayName="Table24" ref="A1:F52" totalsRowShown="0" headerRowDxfId="10" dataDxfId="9" headerRowBorderDxfId="7" tableBorderDxfId="8" totalsRowBorderDxfId="6">
  <autoFilter ref="A1:F52" xr:uid="{2F967F7D-6745-4FBF-AC66-ED02FEC44D37}"/>
  <tableColumns count="6">
    <tableColumn id="1" xr3:uid="{869BC06D-FDD7-4FA8-8820-D51364407DF7}" name="PLAYER" dataDxfId="5"/>
    <tableColumn id="2" xr3:uid="{E675DCD1-C406-4B60-9AB5-FDBBF2D7FF6F}" name="TURN" dataDxfId="4"/>
    <tableColumn id="6" xr3:uid="{C92908EA-62E8-4F78-95DF-46BCB3E6962A}" name="Move" dataDxfId="3"/>
    <tableColumn id="3" xr3:uid="{76E68E40-1831-47C4-B530-907A2BC50D93}" name="TYPE" dataDxfId="2"/>
    <tableColumn id="4" xr3:uid="{18847163-015C-4F23-A991-172EB5BD10BE}" name="GUESS" dataDxfId="1"/>
    <tableColumn id="5" xr3:uid="{BFCD1C99-B72A-4B8B-8F24-9835B3EBFCF0}" name="STATUS" dataDxfId="0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CD0B4-9074-46D8-9563-DEF40E65984A}">
  <dimension ref="A1:AO29"/>
  <sheetViews>
    <sheetView zoomScale="85" zoomScaleNormal="85" workbookViewId="0">
      <selection activeCell="J27" sqref="J27:R29"/>
    </sheetView>
  </sheetViews>
  <sheetFormatPr defaultColWidth="4" defaultRowHeight="21" x14ac:dyDescent="0.25"/>
  <cols>
    <col min="1" max="16384" width="4" style="3"/>
  </cols>
  <sheetData>
    <row r="1" spans="1:41" ht="21.75" thickBot="1" x14ac:dyDescent="0.3">
      <c r="A1" s="117" t="s">
        <v>26</v>
      </c>
      <c r="B1" s="118"/>
      <c r="C1" s="118"/>
      <c r="D1" s="118"/>
      <c r="E1" s="118"/>
      <c r="F1" s="118"/>
      <c r="G1" s="118"/>
      <c r="H1" s="119"/>
      <c r="AA1" s="15" t="s">
        <v>0</v>
      </c>
    </row>
    <row r="2" spans="1:41" ht="21.75" thickBot="1" x14ac:dyDescent="0.3">
      <c r="A2" s="13">
        <v>1</v>
      </c>
      <c r="B2" s="3" t="s">
        <v>2</v>
      </c>
      <c r="C2" s="3" t="s">
        <v>0</v>
      </c>
      <c r="D2" s="3" t="s">
        <v>19</v>
      </c>
      <c r="H2" s="14"/>
      <c r="K2" s="8" t="s">
        <v>0</v>
      </c>
      <c r="L2" s="8" t="s">
        <v>1</v>
      </c>
      <c r="M2" s="8" t="s">
        <v>2</v>
      </c>
      <c r="N2" s="8" t="s">
        <v>3</v>
      </c>
      <c r="S2" s="8" t="s">
        <v>0</v>
      </c>
      <c r="T2" s="8" t="s">
        <v>1</v>
      </c>
      <c r="U2" s="8" t="s">
        <v>2</v>
      </c>
      <c r="V2" s="8" t="s">
        <v>3</v>
      </c>
      <c r="AA2" s="16" t="s">
        <v>1</v>
      </c>
      <c r="AC2" s="120" t="s">
        <v>26</v>
      </c>
      <c r="AD2" s="121"/>
      <c r="AE2" s="121"/>
      <c r="AF2" s="121"/>
      <c r="AG2" s="121"/>
      <c r="AH2" s="121"/>
      <c r="AI2" s="121"/>
      <c r="AJ2" s="121"/>
      <c r="AK2" s="122"/>
      <c r="AM2" s="8" t="s">
        <v>0</v>
      </c>
      <c r="AN2" s="8" t="s">
        <v>1</v>
      </c>
      <c r="AO2" s="8" t="s">
        <v>2</v>
      </c>
    </row>
    <row r="3" spans="1:41" x14ac:dyDescent="0.25">
      <c r="A3" s="13">
        <v>2</v>
      </c>
      <c r="B3" s="3" t="s">
        <v>19</v>
      </c>
      <c r="C3" s="3" t="s">
        <v>0</v>
      </c>
      <c r="D3" s="3" t="s">
        <v>13</v>
      </c>
      <c r="E3" s="3" t="s">
        <v>10</v>
      </c>
      <c r="H3" s="14"/>
      <c r="J3" s="8" t="s">
        <v>4</v>
      </c>
      <c r="K3" s="8" t="s">
        <v>5</v>
      </c>
      <c r="L3" s="8" t="s">
        <v>6</v>
      </c>
      <c r="M3" s="8" t="s">
        <v>7</v>
      </c>
      <c r="N3" s="8" t="s">
        <v>8</v>
      </c>
      <c r="O3" s="8" t="s">
        <v>9</v>
      </c>
      <c r="S3" s="8" t="s">
        <v>4</v>
      </c>
      <c r="T3" s="8" t="s">
        <v>5</v>
      </c>
      <c r="U3" s="8" t="s">
        <v>6</v>
      </c>
      <c r="V3" s="8" t="s">
        <v>7</v>
      </c>
      <c r="AA3" s="16" t="s">
        <v>2</v>
      </c>
      <c r="AC3" s="27"/>
      <c r="AD3" s="29" t="s">
        <v>0</v>
      </c>
      <c r="AE3" s="29" t="s">
        <v>1</v>
      </c>
      <c r="AF3" s="29" t="s">
        <v>2</v>
      </c>
      <c r="AG3" s="29" t="s">
        <v>3</v>
      </c>
      <c r="AH3" s="29" t="s">
        <v>4</v>
      </c>
      <c r="AI3" s="29" t="s">
        <v>5</v>
      </c>
      <c r="AJ3" s="29" t="s">
        <v>6</v>
      </c>
      <c r="AK3" s="30" t="s">
        <v>7</v>
      </c>
      <c r="AM3" s="8" t="s">
        <v>3</v>
      </c>
      <c r="AN3" s="8" t="s">
        <v>4</v>
      </c>
      <c r="AO3" s="8" t="s">
        <v>5</v>
      </c>
    </row>
    <row r="4" spans="1:41" x14ac:dyDescent="0.25">
      <c r="A4" s="13">
        <v>3</v>
      </c>
      <c r="B4" s="3" t="s">
        <v>3</v>
      </c>
      <c r="C4" s="3" t="s">
        <v>14</v>
      </c>
      <c r="D4" s="3" t="s">
        <v>3</v>
      </c>
      <c r="E4" s="3" t="s">
        <v>6</v>
      </c>
      <c r="F4" s="3" t="s">
        <v>4</v>
      </c>
      <c r="H4" s="14"/>
      <c r="J4" s="8" t="s">
        <v>10</v>
      </c>
      <c r="K4" s="8" t="s">
        <v>11</v>
      </c>
      <c r="L4" s="8" t="s">
        <v>12</v>
      </c>
      <c r="M4" s="8" t="s">
        <v>13</v>
      </c>
      <c r="N4" s="8" t="s">
        <v>14</v>
      </c>
      <c r="O4" s="8" t="s">
        <v>15</v>
      </c>
      <c r="S4" s="8" t="s">
        <v>8</v>
      </c>
      <c r="T4" s="8" t="s">
        <v>9</v>
      </c>
      <c r="U4" s="8" t="s">
        <v>10</v>
      </c>
      <c r="V4" s="8" t="s">
        <v>11</v>
      </c>
      <c r="AA4" s="16" t="s">
        <v>3</v>
      </c>
      <c r="AC4" s="31">
        <v>1</v>
      </c>
      <c r="AD4" s="8"/>
      <c r="AE4" s="8"/>
      <c r="AF4" s="8"/>
      <c r="AG4" s="8"/>
      <c r="AH4" s="8"/>
      <c r="AI4" s="8"/>
      <c r="AJ4" s="8"/>
      <c r="AK4" s="9"/>
      <c r="AM4" s="8" t="s">
        <v>6</v>
      </c>
      <c r="AN4" s="8" t="s">
        <v>7</v>
      </c>
      <c r="AO4" s="8" t="s">
        <v>8</v>
      </c>
    </row>
    <row r="5" spans="1:41" ht="21.75" thickBot="1" x14ac:dyDescent="0.3">
      <c r="A5" s="13"/>
      <c r="H5" s="14"/>
      <c r="J5" s="8" t="s">
        <v>16</v>
      </c>
      <c r="K5" s="8" t="s">
        <v>17</v>
      </c>
      <c r="L5" s="8" t="s">
        <v>18</v>
      </c>
      <c r="M5" s="8" t="s">
        <v>19</v>
      </c>
      <c r="N5" s="8" t="s">
        <v>20</v>
      </c>
      <c r="O5" s="8" t="s">
        <v>21</v>
      </c>
      <c r="S5" s="8" t="s">
        <v>12</v>
      </c>
      <c r="T5" s="8" t="s">
        <v>13</v>
      </c>
      <c r="U5" s="8" t="s">
        <v>14</v>
      </c>
      <c r="V5" s="8" t="s">
        <v>15</v>
      </c>
      <c r="AA5" s="16" t="s">
        <v>4</v>
      </c>
      <c r="AC5" s="31">
        <v>2</v>
      </c>
      <c r="AD5" s="8"/>
      <c r="AE5" s="8"/>
      <c r="AF5" s="8"/>
      <c r="AG5" s="8"/>
      <c r="AH5" s="8"/>
      <c r="AI5" s="8"/>
      <c r="AJ5" s="8"/>
      <c r="AK5" s="9"/>
      <c r="AM5" s="8" t="s">
        <v>9</v>
      </c>
      <c r="AN5" s="8" t="s">
        <v>10</v>
      </c>
      <c r="AO5" s="8" t="s">
        <v>11</v>
      </c>
    </row>
    <row r="6" spans="1:41" x14ac:dyDescent="0.25">
      <c r="A6" s="4"/>
      <c r="B6" s="5"/>
      <c r="C6" s="5"/>
      <c r="D6" s="5"/>
      <c r="E6" s="5"/>
      <c r="F6" s="5"/>
      <c r="G6" s="5"/>
      <c r="H6" s="6"/>
      <c r="K6" s="8" t="s">
        <v>22</v>
      </c>
      <c r="L6" s="8" t="s">
        <v>23</v>
      </c>
      <c r="M6" s="8" t="s">
        <v>24</v>
      </c>
      <c r="N6" s="8" t="s">
        <v>25</v>
      </c>
      <c r="S6" s="8" t="s">
        <v>16</v>
      </c>
      <c r="T6" s="8" t="s">
        <v>17</v>
      </c>
      <c r="U6" s="8" t="s">
        <v>18</v>
      </c>
      <c r="V6" s="8" t="s">
        <v>19</v>
      </c>
      <c r="AA6" s="16" t="s">
        <v>5</v>
      </c>
      <c r="AC6" s="31">
        <v>3</v>
      </c>
      <c r="AD6" s="18"/>
      <c r="AE6" s="18"/>
      <c r="AF6" s="18"/>
      <c r="AG6" s="18"/>
      <c r="AH6" s="18"/>
      <c r="AI6" s="18" t="s">
        <v>2</v>
      </c>
      <c r="AJ6" s="18"/>
      <c r="AK6" s="9"/>
      <c r="AM6" s="8" t="s">
        <v>12</v>
      </c>
      <c r="AN6" s="8" t="s">
        <v>13</v>
      </c>
      <c r="AO6" s="8" t="s">
        <v>14</v>
      </c>
    </row>
    <row r="7" spans="1:41" x14ac:dyDescent="0.25">
      <c r="A7" s="7"/>
      <c r="B7" s="8"/>
      <c r="C7" s="8"/>
      <c r="D7" s="8"/>
      <c r="E7" s="8"/>
      <c r="F7" s="8"/>
      <c r="G7" s="8"/>
      <c r="H7" s="9"/>
      <c r="S7" s="8" t="s">
        <v>20</v>
      </c>
      <c r="T7" s="8" t="s">
        <v>21</v>
      </c>
      <c r="U7" s="8" t="s">
        <v>22</v>
      </c>
      <c r="V7" s="8" t="s">
        <v>23</v>
      </c>
      <c r="AA7" s="16" t="s">
        <v>6</v>
      </c>
      <c r="AC7" s="31">
        <v>4</v>
      </c>
      <c r="AD7" s="18"/>
      <c r="AE7" s="18" t="s">
        <v>3</v>
      </c>
      <c r="AF7" s="18"/>
      <c r="AG7" s="18" t="s">
        <v>19</v>
      </c>
      <c r="AH7" s="18" t="s">
        <v>0</v>
      </c>
      <c r="AI7" s="18" t="s">
        <v>13</v>
      </c>
      <c r="AJ7" s="18" t="s">
        <v>10</v>
      </c>
      <c r="AK7" s="9"/>
      <c r="AM7" s="8" t="s">
        <v>15</v>
      </c>
      <c r="AN7" s="8" t="s">
        <v>16</v>
      </c>
      <c r="AO7" s="8" t="s">
        <v>17</v>
      </c>
    </row>
    <row r="8" spans="1:41" x14ac:dyDescent="0.25">
      <c r="A8" s="7"/>
      <c r="B8" s="8"/>
      <c r="C8" s="8"/>
      <c r="D8" s="8"/>
      <c r="E8" s="8"/>
      <c r="F8" s="8" t="s">
        <v>2</v>
      </c>
      <c r="G8" s="8"/>
      <c r="H8" s="9"/>
      <c r="S8" s="8" t="s">
        <v>24</v>
      </c>
      <c r="V8" s="8" t="s">
        <v>25</v>
      </c>
      <c r="AA8" s="16" t="s">
        <v>7</v>
      </c>
      <c r="AC8" s="31">
        <v>5</v>
      </c>
      <c r="AD8" s="18"/>
      <c r="AE8" s="19" t="s">
        <v>14</v>
      </c>
      <c r="AF8" s="18"/>
      <c r="AG8" s="18" t="s">
        <v>19</v>
      </c>
      <c r="AH8" s="18"/>
      <c r="AI8" s="18"/>
      <c r="AJ8" s="18"/>
      <c r="AK8" s="9"/>
      <c r="AM8" s="8" t="s">
        <v>18</v>
      </c>
      <c r="AN8" s="8" t="s">
        <v>19</v>
      </c>
      <c r="AO8" s="8" t="s">
        <v>20</v>
      </c>
    </row>
    <row r="9" spans="1:41" x14ac:dyDescent="0.25">
      <c r="A9" s="7"/>
      <c r="B9" s="8" t="s">
        <v>3</v>
      </c>
      <c r="C9" s="8"/>
      <c r="D9" s="8" t="s">
        <v>19</v>
      </c>
      <c r="E9" s="8" t="s">
        <v>0</v>
      </c>
      <c r="F9" s="8" t="s">
        <v>13</v>
      </c>
      <c r="G9" s="8" t="s">
        <v>10</v>
      </c>
      <c r="H9" s="9"/>
      <c r="AA9" s="16" t="s">
        <v>8</v>
      </c>
      <c r="AC9" s="31">
        <v>6</v>
      </c>
      <c r="AD9" s="18"/>
      <c r="AE9" s="18" t="s">
        <v>3</v>
      </c>
      <c r="AF9" s="18"/>
      <c r="AG9" s="18"/>
      <c r="AH9" s="18"/>
      <c r="AI9" s="18"/>
      <c r="AJ9" s="18"/>
      <c r="AK9" s="9"/>
      <c r="AM9" s="8" t="s">
        <v>21</v>
      </c>
      <c r="AN9" s="8" t="s">
        <v>22</v>
      </c>
      <c r="AO9" s="8" t="s">
        <v>23</v>
      </c>
    </row>
    <row r="10" spans="1:41" x14ac:dyDescent="0.25">
      <c r="A10" s="7"/>
      <c r="B10" s="8" t="s">
        <v>14</v>
      </c>
      <c r="C10" s="8"/>
      <c r="D10" s="8" t="s">
        <v>19</v>
      </c>
      <c r="E10" s="8"/>
      <c r="F10" s="8"/>
      <c r="G10" s="8"/>
      <c r="H10" s="9"/>
      <c r="J10" s="8" t="s">
        <v>0</v>
      </c>
      <c r="K10" s="8" t="s">
        <v>1</v>
      </c>
      <c r="L10" s="8" t="s">
        <v>2</v>
      </c>
      <c r="M10" s="8" t="s">
        <v>3</v>
      </c>
      <c r="N10" s="8" t="s">
        <v>4</v>
      </c>
      <c r="O10" s="8" t="s">
        <v>5</v>
      </c>
      <c r="P10" s="8" t="s">
        <v>6</v>
      </c>
      <c r="Q10" s="8" t="s">
        <v>7</v>
      </c>
      <c r="S10" s="8" t="s">
        <v>0</v>
      </c>
      <c r="T10" s="8" t="s">
        <v>1</v>
      </c>
      <c r="U10" s="8" t="s">
        <v>2</v>
      </c>
      <c r="V10" s="8" t="s">
        <v>3</v>
      </c>
      <c r="W10" s="8" t="s">
        <v>4</v>
      </c>
      <c r="X10" s="8" t="s">
        <v>5</v>
      </c>
      <c r="AA10" s="16" t="s">
        <v>9</v>
      </c>
      <c r="AC10" s="31">
        <v>7</v>
      </c>
      <c r="AD10" s="18"/>
      <c r="AE10" s="18" t="s">
        <v>6</v>
      </c>
      <c r="AF10" s="18"/>
      <c r="AG10" s="18"/>
      <c r="AH10" s="18"/>
      <c r="AI10" s="18"/>
      <c r="AJ10" s="18"/>
      <c r="AK10" s="9"/>
      <c r="AM10" s="8" t="s">
        <v>24</v>
      </c>
      <c r="AN10" s="8" t="s">
        <v>25</v>
      </c>
      <c r="AO10" s="33"/>
    </row>
    <row r="11" spans="1:41" ht="21.75" thickBot="1" x14ac:dyDescent="0.3">
      <c r="A11" s="7"/>
      <c r="B11" s="8" t="s">
        <v>3</v>
      </c>
      <c r="C11" s="8"/>
      <c r="D11" s="8"/>
      <c r="E11" s="8"/>
      <c r="F11" s="8"/>
      <c r="G11" s="8"/>
      <c r="H11" s="9"/>
      <c r="J11" s="8" t="s">
        <v>8</v>
      </c>
      <c r="K11" s="8" t="s">
        <v>9</v>
      </c>
      <c r="L11" s="8" t="s">
        <v>10</v>
      </c>
      <c r="M11" s="8" t="s">
        <v>11</v>
      </c>
      <c r="N11" s="8" t="s">
        <v>12</v>
      </c>
      <c r="O11" s="8" t="s">
        <v>13</v>
      </c>
      <c r="P11" s="8" t="s">
        <v>14</v>
      </c>
      <c r="Q11" s="8" t="s">
        <v>15</v>
      </c>
      <c r="S11" s="8" t="s">
        <v>6</v>
      </c>
      <c r="T11" s="8" t="s">
        <v>7</v>
      </c>
      <c r="U11" s="8" t="s">
        <v>8</v>
      </c>
      <c r="V11" s="8" t="s">
        <v>9</v>
      </c>
      <c r="W11" s="8" t="s">
        <v>10</v>
      </c>
      <c r="X11" s="8" t="s">
        <v>11</v>
      </c>
      <c r="AA11" s="16" t="s">
        <v>10</v>
      </c>
      <c r="AC11" s="32">
        <v>8</v>
      </c>
      <c r="AD11" s="11"/>
      <c r="AE11" s="11" t="s">
        <v>4</v>
      </c>
      <c r="AF11" s="11"/>
      <c r="AG11" s="11"/>
      <c r="AH11" s="11"/>
      <c r="AI11" s="11"/>
      <c r="AJ11" s="11"/>
      <c r="AK11" s="12"/>
    </row>
    <row r="12" spans="1:41" ht="21.75" thickBot="1" x14ac:dyDescent="0.3">
      <c r="A12" s="7"/>
      <c r="B12" s="8" t="s">
        <v>6</v>
      </c>
      <c r="C12" s="8"/>
      <c r="D12" s="8"/>
      <c r="E12" s="8"/>
      <c r="F12" s="8"/>
      <c r="G12" s="8"/>
      <c r="H12" s="9"/>
      <c r="J12" s="8" t="s">
        <v>16</v>
      </c>
      <c r="K12" s="8" t="s">
        <v>17</v>
      </c>
      <c r="L12" s="8" t="s">
        <v>18</v>
      </c>
      <c r="M12" s="8" t="s">
        <v>19</v>
      </c>
      <c r="N12" s="8" t="s">
        <v>20</v>
      </c>
      <c r="O12" s="8" t="s">
        <v>21</v>
      </c>
      <c r="P12" s="8" t="s">
        <v>22</v>
      </c>
      <c r="Q12" s="8" t="s">
        <v>23</v>
      </c>
      <c r="S12" s="8" t="s">
        <v>12</v>
      </c>
      <c r="T12" s="8" t="s">
        <v>13</v>
      </c>
      <c r="U12" s="8" t="s">
        <v>14</v>
      </c>
      <c r="V12" s="8" t="s">
        <v>15</v>
      </c>
      <c r="W12" s="8" t="s">
        <v>16</v>
      </c>
      <c r="X12" s="8" t="s">
        <v>17</v>
      </c>
      <c r="AA12" s="16" t="s">
        <v>11</v>
      </c>
    </row>
    <row r="13" spans="1:41" ht="21.75" thickBot="1" x14ac:dyDescent="0.3">
      <c r="A13" s="10"/>
      <c r="B13" s="11" t="s">
        <v>4</v>
      </c>
      <c r="C13" s="11"/>
      <c r="D13" s="11"/>
      <c r="E13" s="11"/>
      <c r="F13" s="11"/>
      <c r="G13" s="11"/>
      <c r="H13" s="12"/>
      <c r="J13" s="8" t="s">
        <v>24</v>
      </c>
      <c r="Q13" s="8" t="s">
        <v>25</v>
      </c>
      <c r="S13" s="8" t="s">
        <v>18</v>
      </c>
      <c r="T13" s="8" t="s">
        <v>19</v>
      </c>
      <c r="U13" s="8" t="s">
        <v>20</v>
      </c>
      <c r="V13" s="8" t="s">
        <v>21</v>
      </c>
      <c r="W13" s="8" t="s">
        <v>22</v>
      </c>
      <c r="X13" s="8" t="s">
        <v>23</v>
      </c>
      <c r="AA13" s="16" t="s">
        <v>12</v>
      </c>
      <c r="AC13" s="117" t="s">
        <v>28</v>
      </c>
      <c r="AD13" s="118"/>
      <c r="AE13" s="118"/>
      <c r="AF13" s="118"/>
      <c r="AG13" s="118"/>
      <c r="AH13" s="118"/>
      <c r="AI13" s="118"/>
      <c r="AJ13" s="118"/>
      <c r="AK13" s="119"/>
      <c r="AM13" s="8" t="s">
        <v>0</v>
      </c>
      <c r="AN13" s="8" t="s">
        <v>1</v>
      </c>
      <c r="AO13" s="8" t="s">
        <v>2</v>
      </c>
    </row>
    <row r="14" spans="1:41" ht="21.75" thickBot="1" x14ac:dyDescent="0.3">
      <c r="S14" s="8" t="s">
        <v>24</v>
      </c>
      <c r="X14" s="8" t="s">
        <v>25</v>
      </c>
      <c r="AA14" s="16" t="s">
        <v>13</v>
      </c>
      <c r="AC14" s="21">
        <v>1</v>
      </c>
      <c r="AD14" s="22" t="s">
        <v>3</v>
      </c>
      <c r="AE14" s="22" t="s">
        <v>14</v>
      </c>
      <c r="AF14" s="22" t="s">
        <v>6</v>
      </c>
      <c r="AG14" s="23"/>
      <c r="AH14" s="23"/>
      <c r="AI14" s="23"/>
      <c r="AJ14" s="23"/>
      <c r="AK14" s="24"/>
      <c r="AM14" s="8" t="s">
        <v>3</v>
      </c>
      <c r="AN14" s="8" t="s">
        <v>4</v>
      </c>
      <c r="AO14" s="8" t="s">
        <v>5</v>
      </c>
    </row>
    <row r="15" spans="1:41" ht="21.75" thickBot="1" x14ac:dyDescent="0.3">
      <c r="A15" s="117" t="s">
        <v>28</v>
      </c>
      <c r="B15" s="118"/>
      <c r="C15" s="118"/>
      <c r="D15" s="118"/>
      <c r="E15" s="118"/>
      <c r="F15" s="118"/>
      <c r="G15" s="118"/>
      <c r="H15" s="119"/>
      <c r="AA15" s="16" t="s">
        <v>14</v>
      </c>
      <c r="AC15" s="21">
        <v>2</v>
      </c>
      <c r="AD15" s="22" t="s">
        <v>1</v>
      </c>
      <c r="AE15" s="22" t="s">
        <v>14</v>
      </c>
      <c r="AF15" s="22" t="s">
        <v>0</v>
      </c>
      <c r="AG15" s="22" t="s">
        <v>19</v>
      </c>
      <c r="AH15" s="23"/>
      <c r="AI15" s="23"/>
      <c r="AJ15" s="23"/>
      <c r="AK15" s="24"/>
      <c r="AM15" s="8" t="s">
        <v>6</v>
      </c>
      <c r="AN15" s="8" t="s">
        <v>7</v>
      </c>
      <c r="AO15" s="8" t="s">
        <v>8</v>
      </c>
    </row>
    <row r="16" spans="1:41" ht="21.75" thickBot="1" x14ac:dyDescent="0.3">
      <c r="A16" s="13">
        <v>1</v>
      </c>
      <c r="B16" s="3" t="s">
        <v>3</v>
      </c>
      <c r="C16" s="3" t="s">
        <v>14</v>
      </c>
      <c r="D16" s="3" t="s">
        <v>6</v>
      </c>
      <c r="H16" s="14"/>
      <c r="J16" s="8" t="s">
        <v>0</v>
      </c>
      <c r="K16" s="8" t="s">
        <v>1</v>
      </c>
      <c r="L16" s="8" t="s">
        <v>2</v>
      </c>
      <c r="M16" s="8" t="s">
        <v>3</v>
      </c>
      <c r="N16" s="8" t="s">
        <v>4</v>
      </c>
      <c r="O16" s="8" t="s">
        <v>5</v>
      </c>
      <c r="P16" s="8" t="s">
        <v>6</v>
      </c>
      <c r="S16" s="8" t="s">
        <v>0</v>
      </c>
      <c r="T16" s="8" t="s">
        <v>1</v>
      </c>
      <c r="U16" s="8" t="s">
        <v>2</v>
      </c>
      <c r="V16" s="8" t="s">
        <v>3</v>
      </c>
      <c r="W16" s="8" t="s">
        <v>4</v>
      </c>
      <c r="AA16" s="16" t="s">
        <v>15</v>
      </c>
      <c r="AC16" s="21">
        <v>3</v>
      </c>
      <c r="AD16" s="22" t="s">
        <v>11</v>
      </c>
      <c r="AE16" s="22" t="s">
        <v>0</v>
      </c>
      <c r="AF16" s="22" t="s">
        <v>17</v>
      </c>
      <c r="AG16" s="22" t="s">
        <v>6</v>
      </c>
      <c r="AH16" s="22" t="s">
        <v>4</v>
      </c>
      <c r="AI16" s="23"/>
      <c r="AJ16" s="23"/>
      <c r="AK16" s="24"/>
      <c r="AM16" s="8" t="s">
        <v>9</v>
      </c>
      <c r="AN16" s="8" t="s">
        <v>10</v>
      </c>
      <c r="AO16" s="8" t="s">
        <v>11</v>
      </c>
    </row>
    <row r="17" spans="1:41" x14ac:dyDescent="0.25">
      <c r="A17" s="13">
        <v>2</v>
      </c>
      <c r="B17" s="3" t="s">
        <v>1</v>
      </c>
      <c r="C17" s="3" t="s">
        <v>14</v>
      </c>
      <c r="D17" s="3" t="s">
        <v>0</v>
      </c>
      <c r="E17" s="3" t="s">
        <v>19</v>
      </c>
      <c r="H17" s="14"/>
      <c r="J17" s="8" t="s">
        <v>7</v>
      </c>
      <c r="K17" s="8" t="s">
        <v>8</v>
      </c>
      <c r="L17" s="8" t="s">
        <v>9</v>
      </c>
      <c r="M17" s="8" t="s">
        <v>10</v>
      </c>
      <c r="N17" s="8" t="s">
        <v>11</v>
      </c>
      <c r="O17" s="8" t="s">
        <v>12</v>
      </c>
      <c r="P17" s="8" t="s">
        <v>13</v>
      </c>
      <c r="S17" s="8" t="s">
        <v>5</v>
      </c>
      <c r="T17" s="8" t="s">
        <v>6</v>
      </c>
      <c r="U17" s="8" t="s">
        <v>7</v>
      </c>
      <c r="V17" s="8" t="s">
        <v>8</v>
      </c>
      <c r="W17" s="8" t="s">
        <v>9</v>
      </c>
      <c r="AA17" s="16" t="s">
        <v>16</v>
      </c>
      <c r="AC17" s="28"/>
      <c r="AD17" s="29" t="s">
        <v>0</v>
      </c>
      <c r="AE17" s="29" t="s">
        <v>1</v>
      </c>
      <c r="AF17" s="29" t="s">
        <v>2</v>
      </c>
      <c r="AG17" s="29" t="s">
        <v>3</v>
      </c>
      <c r="AH17" s="29" t="s">
        <v>4</v>
      </c>
      <c r="AI17" s="29" t="s">
        <v>5</v>
      </c>
      <c r="AJ17" s="29" t="s">
        <v>6</v>
      </c>
      <c r="AK17" s="30" t="s">
        <v>7</v>
      </c>
      <c r="AM17" s="8" t="s">
        <v>12</v>
      </c>
      <c r="AN17" s="8" t="s">
        <v>13</v>
      </c>
      <c r="AO17" s="8" t="s">
        <v>14</v>
      </c>
    </row>
    <row r="18" spans="1:41" x14ac:dyDescent="0.25">
      <c r="A18" s="13">
        <v>3</v>
      </c>
      <c r="B18" s="3" t="s">
        <v>11</v>
      </c>
      <c r="C18" s="3" t="s">
        <v>0</v>
      </c>
      <c r="D18" s="3" t="s">
        <v>17</v>
      </c>
      <c r="E18" s="3" t="s">
        <v>6</v>
      </c>
      <c r="F18" s="3" t="s">
        <v>4</v>
      </c>
      <c r="H18" s="14"/>
      <c r="J18" s="8" t="s">
        <v>14</v>
      </c>
      <c r="K18" s="8" t="s">
        <v>15</v>
      </c>
      <c r="L18" s="8" t="s">
        <v>16</v>
      </c>
      <c r="M18" s="8" t="s">
        <v>17</v>
      </c>
      <c r="N18" s="8" t="s">
        <v>18</v>
      </c>
      <c r="O18" s="8" t="s">
        <v>19</v>
      </c>
      <c r="P18" s="8" t="s">
        <v>20</v>
      </c>
      <c r="S18" s="8" t="s">
        <v>10</v>
      </c>
      <c r="T18" s="8" t="s">
        <v>11</v>
      </c>
      <c r="U18" s="8" t="s">
        <v>12</v>
      </c>
      <c r="V18" s="8" t="s">
        <v>13</v>
      </c>
      <c r="W18" s="8" t="s">
        <v>14</v>
      </c>
      <c r="AA18" s="16" t="s">
        <v>17</v>
      </c>
      <c r="AC18" s="31">
        <v>1</v>
      </c>
      <c r="AD18" s="8"/>
      <c r="AE18" s="8"/>
      <c r="AF18" s="8"/>
      <c r="AG18" s="8"/>
      <c r="AH18" s="8"/>
      <c r="AI18" s="8"/>
      <c r="AJ18" s="8"/>
      <c r="AK18" s="9"/>
      <c r="AM18" s="8" t="s">
        <v>15</v>
      </c>
      <c r="AN18" s="8" t="s">
        <v>16</v>
      </c>
      <c r="AO18" s="8" t="s">
        <v>17</v>
      </c>
    </row>
    <row r="19" spans="1:41" ht="21.75" thickBot="1" x14ac:dyDescent="0.3">
      <c r="A19" s="13"/>
      <c r="H19" s="14"/>
      <c r="K19" s="8" t="s">
        <v>21</v>
      </c>
      <c r="L19" s="8" t="s">
        <v>22</v>
      </c>
      <c r="M19" s="8" t="s">
        <v>23</v>
      </c>
      <c r="N19" s="8" t="s">
        <v>24</v>
      </c>
      <c r="O19" s="8" t="s">
        <v>25</v>
      </c>
      <c r="S19" s="8" t="s">
        <v>15</v>
      </c>
      <c r="T19" s="8" t="s">
        <v>16</v>
      </c>
      <c r="U19" s="8" t="s">
        <v>17</v>
      </c>
      <c r="V19" s="8" t="s">
        <v>18</v>
      </c>
      <c r="W19" s="8" t="s">
        <v>19</v>
      </c>
      <c r="AA19" s="16" t="s">
        <v>18</v>
      </c>
      <c r="AC19" s="31">
        <v>2</v>
      </c>
      <c r="AD19" s="8"/>
      <c r="AE19" s="8"/>
      <c r="AF19" s="8" t="s">
        <v>1</v>
      </c>
      <c r="AG19" s="8"/>
      <c r="AH19" s="8"/>
      <c r="AI19" s="8"/>
      <c r="AJ19" s="8"/>
      <c r="AK19" s="9"/>
      <c r="AM19" s="8" t="s">
        <v>18</v>
      </c>
      <c r="AN19" s="8" t="s">
        <v>19</v>
      </c>
      <c r="AO19" s="8" t="s">
        <v>20</v>
      </c>
    </row>
    <row r="20" spans="1:41" x14ac:dyDescent="0.25">
      <c r="A20" s="4"/>
      <c r="B20" s="5"/>
      <c r="C20" s="5"/>
      <c r="D20" s="5"/>
      <c r="E20" s="5"/>
      <c r="F20" s="5"/>
      <c r="G20" s="5"/>
      <c r="H20" s="6"/>
      <c r="S20" s="8" t="s">
        <v>20</v>
      </c>
      <c r="T20" s="8" t="s">
        <v>21</v>
      </c>
      <c r="U20" s="8" t="s">
        <v>22</v>
      </c>
      <c r="V20" s="8" t="s">
        <v>23</v>
      </c>
      <c r="W20" s="8" t="s">
        <v>24</v>
      </c>
      <c r="AA20" s="16" t="s">
        <v>19</v>
      </c>
      <c r="AC20" s="31">
        <v>3</v>
      </c>
      <c r="AD20" s="8"/>
      <c r="AE20" s="8"/>
      <c r="AF20" s="8" t="s">
        <v>14</v>
      </c>
      <c r="AG20" s="8"/>
      <c r="AH20" s="8"/>
      <c r="AI20" s="8"/>
      <c r="AJ20" s="8"/>
      <c r="AK20" s="9"/>
      <c r="AM20" s="8" t="s">
        <v>21</v>
      </c>
      <c r="AN20" s="8" t="s">
        <v>22</v>
      </c>
      <c r="AO20" s="8" t="s">
        <v>23</v>
      </c>
    </row>
    <row r="21" spans="1:41" x14ac:dyDescent="0.25">
      <c r="A21" s="7"/>
      <c r="B21" s="8"/>
      <c r="C21" s="8" t="s">
        <v>1</v>
      </c>
      <c r="D21" s="8"/>
      <c r="E21" s="8"/>
      <c r="F21" s="8"/>
      <c r="G21" s="8"/>
      <c r="H21" s="9"/>
      <c r="U21" s="8" t="s">
        <v>25</v>
      </c>
      <c r="AA21" s="16" t="s">
        <v>20</v>
      </c>
      <c r="AC21" s="31">
        <v>4</v>
      </c>
      <c r="AD21" s="8"/>
      <c r="AE21" s="8"/>
      <c r="AF21" s="8" t="s">
        <v>0</v>
      </c>
      <c r="AG21" s="8"/>
      <c r="AH21" s="8" t="s">
        <v>4</v>
      </c>
      <c r="AI21" s="8"/>
      <c r="AJ21" s="8"/>
      <c r="AK21" s="9"/>
      <c r="AM21" s="8" t="s">
        <v>24</v>
      </c>
      <c r="AN21" s="8" t="s">
        <v>25</v>
      </c>
      <c r="AO21" s="33"/>
    </row>
    <row r="22" spans="1:41" x14ac:dyDescent="0.25">
      <c r="A22" s="7"/>
      <c r="B22" s="8"/>
      <c r="C22" s="8" t="s">
        <v>14</v>
      </c>
      <c r="D22" s="8"/>
      <c r="E22" s="8"/>
      <c r="F22" s="8"/>
      <c r="G22" s="8"/>
      <c r="H22" s="9"/>
      <c r="L22" s="8" t="s">
        <v>0</v>
      </c>
      <c r="M22" s="8" t="s">
        <v>1</v>
      </c>
      <c r="N22" s="8" t="s">
        <v>2</v>
      </c>
      <c r="O22" s="8" t="s">
        <v>3</v>
      </c>
      <c r="P22" s="8" t="s">
        <v>4</v>
      </c>
      <c r="AA22" s="16" t="s">
        <v>21</v>
      </c>
      <c r="AC22" s="31">
        <v>5</v>
      </c>
      <c r="AD22" s="8"/>
      <c r="AE22" s="8"/>
      <c r="AF22" s="8" t="s">
        <v>19</v>
      </c>
      <c r="AG22" s="8" t="s">
        <v>6</v>
      </c>
      <c r="AH22" s="8"/>
      <c r="AI22" s="8"/>
      <c r="AJ22" s="8"/>
      <c r="AK22" s="9"/>
    </row>
    <row r="23" spans="1:41" x14ac:dyDescent="0.25">
      <c r="A23" s="7"/>
      <c r="B23" s="8"/>
      <c r="C23" s="8" t="s">
        <v>0</v>
      </c>
      <c r="D23" s="8"/>
      <c r="E23" s="8" t="s">
        <v>4</v>
      </c>
      <c r="F23" s="8"/>
      <c r="G23" s="8"/>
      <c r="H23" s="9"/>
      <c r="K23" s="8" t="s">
        <v>5</v>
      </c>
      <c r="L23" s="8" t="s">
        <v>6</v>
      </c>
      <c r="M23" s="8" t="s">
        <v>7</v>
      </c>
      <c r="N23" s="8" t="s">
        <v>8</v>
      </c>
      <c r="O23" s="8" t="s">
        <v>9</v>
      </c>
      <c r="P23" s="8" t="s">
        <v>10</v>
      </c>
      <c r="Q23" s="8" t="s">
        <v>11</v>
      </c>
      <c r="AA23" s="16" t="s">
        <v>22</v>
      </c>
      <c r="AC23" s="31">
        <v>6</v>
      </c>
      <c r="AD23" s="8"/>
      <c r="AE23" s="8"/>
      <c r="AF23" s="8" t="s">
        <v>17</v>
      </c>
      <c r="AG23" s="8"/>
      <c r="AH23" s="8"/>
      <c r="AI23" s="8"/>
      <c r="AJ23" s="8"/>
      <c r="AK23" s="9"/>
    </row>
    <row r="24" spans="1:41" x14ac:dyDescent="0.25">
      <c r="A24" s="7"/>
      <c r="B24" s="8"/>
      <c r="C24" s="8" t="s">
        <v>19</v>
      </c>
      <c r="D24" s="8" t="s">
        <v>6</v>
      </c>
      <c r="E24" s="8"/>
      <c r="F24" s="8"/>
      <c r="G24" s="8"/>
      <c r="H24" s="9"/>
      <c r="K24" s="8" t="s">
        <v>12</v>
      </c>
      <c r="L24" s="8" t="s">
        <v>13</v>
      </c>
      <c r="M24" s="8" t="s">
        <v>14</v>
      </c>
      <c r="N24" s="8" t="s">
        <v>15</v>
      </c>
      <c r="O24" s="8" t="s">
        <v>16</v>
      </c>
      <c r="P24" s="8" t="s">
        <v>17</v>
      </c>
      <c r="Q24" s="8" t="s">
        <v>18</v>
      </c>
      <c r="AA24" s="16" t="s">
        <v>23</v>
      </c>
      <c r="AC24" s="31">
        <v>7</v>
      </c>
      <c r="AD24" s="8"/>
      <c r="AE24" s="8" t="s">
        <v>0</v>
      </c>
      <c r="AF24" s="8"/>
      <c r="AG24" s="8"/>
      <c r="AH24" s="8"/>
      <c r="AI24" s="8" t="s">
        <v>3</v>
      </c>
      <c r="AJ24" s="8" t="s">
        <v>14</v>
      </c>
      <c r="AK24" s="9" t="s">
        <v>6</v>
      </c>
    </row>
    <row r="25" spans="1:41" ht="21.75" thickBot="1" x14ac:dyDescent="0.3">
      <c r="A25" s="7"/>
      <c r="B25" s="8"/>
      <c r="C25" s="8" t="s">
        <v>17</v>
      </c>
      <c r="D25" s="8"/>
      <c r="E25" s="8"/>
      <c r="F25" s="8"/>
      <c r="G25" s="8"/>
      <c r="H25" s="9"/>
      <c r="K25" s="8" t="s">
        <v>19</v>
      </c>
      <c r="L25" s="8" t="s">
        <v>20</v>
      </c>
      <c r="M25" s="8" t="s">
        <v>21</v>
      </c>
      <c r="N25" s="8" t="s">
        <v>22</v>
      </c>
      <c r="O25" s="8" t="s">
        <v>23</v>
      </c>
      <c r="P25" s="8" t="s">
        <v>24</v>
      </c>
      <c r="Q25" s="8" t="s">
        <v>25</v>
      </c>
      <c r="AA25" s="16" t="s">
        <v>24</v>
      </c>
      <c r="AC25" s="32">
        <v>8</v>
      </c>
      <c r="AD25" s="11" t="s">
        <v>11</v>
      </c>
      <c r="AE25" s="11"/>
      <c r="AF25" s="11"/>
      <c r="AG25" s="11"/>
      <c r="AH25" s="11"/>
      <c r="AI25" s="11"/>
      <c r="AJ25" s="11"/>
      <c r="AK25" s="12"/>
    </row>
    <row r="26" spans="1:41" ht="21.75" thickBot="1" x14ac:dyDescent="0.3">
      <c r="A26" s="7"/>
      <c r="B26" s="8" t="s">
        <v>0</v>
      </c>
      <c r="C26" s="8"/>
      <c r="D26" s="8"/>
      <c r="E26" s="8"/>
      <c r="F26" s="8" t="s">
        <v>3</v>
      </c>
      <c r="G26" s="8" t="s">
        <v>14</v>
      </c>
      <c r="H26" s="9" t="s">
        <v>6</v>
      </c>
      <c r="AA26" s="17" t="s">
        <v>25</v>
      </c>
    </row>
    <row r="27" spans="1:41" ht="21.75" thickBot="1" x14ac:dyDescent="0.3">
      <c r="A27" s="10" t="s">
        <v>11</v>
      </c>
      <c r="B27" s="11"/>
      <c r="C27" s="11"/>
      <c r="D27" s="11"/>
      <c r="E27" s="11"/>
      <c r="F27" s="11"/>
      <c r="G27" s="11"/>
      <c r="H27" s="12"/>
      <c r="J27" s="8" t="s">
        <v>0</v>
      </c>
      <c r="K27" s="8" t="s">
        <v>1</v>
      </c>
      <c r="L27" s="8" t="s">
        <v>2</v>
      </c>
      <c r="M27" s="8" t="s">
        <v>3</v>
      </c>
      <c r="N27" s="8" t="s">
        <v>4</v>
      </c>
      <c r="O27" s="8" t="s">
        <v>5</v>
      </c>
      <c r="P27" s="8" t="s">
        <v>6</v>
      </c>
      <c r="Q27" s="8" t="s">
        <v>7</v>
      </c>
      <c r="R27" s="8" t="s">
        <v>8</v>
      </c>
    </row>
    <row r="28" spans="1:41" x14ac:dyDescent="0.25">
      <c r="J28" s="8" t="s">
        <v>9</v>
      </c>
      <c r="K28" s="8" t="s">
        <v>10</v>
      </c>
      <c r="L28" s="8" t="s">
        <v>11</v>
      </c>
      <c r="M28" s="8" t="s">
        <v>12</v>
      </c>
      <c r="N28" s="8" t="s">
        <v>13</v>
      </c>
      <c r="O28" s="8" t="s">
        <v>14</v>
      </c>
      <c r="P28" s="8" t="s">
        <v>15</v>
      </c>
      <c r="Q28" s="8" t="s">
        <v>16</v>
      </c>
      <c r="R28" s="8" t="s">
        <v>17</v>
      </c>
    </row>
    <row r="29" spans="1:41" x14ac:dyDescent="0.25">
      <c r="J29" s="8" t="s">
        <v>18</v>
      </c>
      <c r="K29" s="8" t="s">
        <v>19</v>
      </c>
      <c r="L29" s="8" t="s">
        <v>20</v>
      </c>
      <c r="M29" s="8" t="s">
        <v>21</v>
      </c>
      <c r="N29" s="8" t="s">
        <v>22</v>
      </c>
      <c r="O29" s="8" t="s">
        <v>23</v>
      </c>
      <c r="P29" s="8" t="s">
        <v>24</v>
      </c>
      <c r="Q29" s="8" t="s">
        <v>25</v>
      </c>
      <c r="R29" s="50"/>
    </row>
  </sheetData>
  <mergeCells count="4">
    <mergeCell ref="A1:H1"/>
    <mergeCell ref="A15:H15"/>
    <mergeCell ref="AC13:AK13"/>
    <mergeCell ref="AC2:AK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D552B-59F6-4307-890A-93959F02EC9A}">
  <dimension ref="E4:R28"/>
  <sheetViews>
    <sheetView topLeftCell="A4" workbookViewId="0">
      <selection activeCell="E5" sqref="E5:Q28"/>
    </sheetView>
  </sheetViews>
  <sheetFormatPr defaultRowHeight="15" x14ac:dyDescent="0.25"/>
  <cols>
    <col min="5" max="5" width="2.85546875" bestFit="1" customWidth="1"/>
    <col min="6" max="6" width="3.140625" bestFit="1" customWidth="1"/>
    <col min="7" max="9" width="3.28515625" bestFit="1" customWidth="1"/>
    <col min="10" max="10" width="2.85546875" bestFit="1" customWidth="1"/>
    <col min="11" max="13" width="3.28515625" bestFit="1" customWidth="1"/>
    <col min="15" max="15" width="3.42578125" bestFit="1" customWidth="1"/>
    <col min="16" max="16" width="3.7109375" bestFit="1" customWidth="1"/>
    <col min="17" max="17" width="3.28515625" bestFit="1" customWidth="1"/>
  </cols>
  <sheetData>
    <row r="4" spans="5:18" ht="21.75" thickBot="1" x14ac:dyDescent="0.3"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5:18" ht="21.75" thickBot="1" x14ac:dyDescent="0.3">
      <c r="E5" s="120" t="s">
        <v>26</v>
      </c>
      <c r="F5" s="121"/>
      <c r="G5" s="121"/>
      <c r="H5" s="121"/>
      <c r="I5" s="121"/>
      <c r="J5" s="121"/>
      <c r="K5" s="121"/>
      <c r="L5" s="121"/>
      <c r="M5" s="122"/>
      <c r="N5" s="3"/>
      <c r="O5" s="8" t="s">
        <v>0</v>
      </c>
      <c r="P5" s="8" t="s">
        <v>1</v>
      </c>
      <c r="Q5" s="8" t="s">
        <v>2</v>
      </c>
      <c r="R5" s="3"/>
    </row>
    <row r="6" spans="5:18" ht="21" x14ac:dyDescent="0.25">
      <c r="E6" s="27"/>
      <c r="F6" s="29" t="s">
        <v>0</v>
      </c>
      <c r="G6" s="29" t="s">
        <v>1</v>
      </c>
      <c r="H6" s="29" t="s">
        <v>2</v>
      </c>
      <c r="I6" s="29" t="s">
        <v>3</v>
      </c>
      <c r="J6" s="29" t="s">
        <v>4</v>
      </c>
      <c r="K6" s="29" t="s">
        <v>5</v>
      </c>
      <c r="L6" s="29" t="s">
        <v>6</v>
      </c>
      <c r="M6" s="30" t="s">
        <v>7</v>
      </c>
      <c r="N6" s="3"/>
      <c r="O6" s="8" t="s">
        <v>3</v>
      </c>
      <c r="P6" s="8" t="s">
        <v>4</v>
      </c>
      <c r="Q6" s="8" t="s">
        <v>5</v>
      </c>
      <c r="R6" s="3"/>
    </row>
    <row r="7" spans="5:18" ht="21" x14ac:dyDescent="0.25">
      <c r="E7" s="31">
        <v>1</v>
      </c>
      <c r="F7" s="8"/>
      <c r="G7" s="8"/>
      <c r="H7" s="8"/>
      <c r="I7" s="8"/>
      <c r="J7" s="8"/>
      <c r="K7" s="8"/>
      <c r="L7" s="8"/>
      <c r="M7" s="9"/>
      <c r="N7" s="3"/>
      <c r="O7" s="8" t="s">
        <v>6</v>
      </c>
      <c r="P7" s="8" t="s">
        <v>7</v>
      </c>
      <c r="Q7" s="8" t="s">
        <v>8</v>
      </c>
      <c r="R7" s="3"/>
    </row>
    <row r="8" spans="5:18" ht="21" x14ac:dyDescent="0.25">
      <c r="E8" s="31">
        <v>2</v>
      </c>
      <c r="F8" s="8"/>
      <c r="G8" s="8"/>
      <c r="H8" s="8"/>
      <c r="I8" s="8"/>
      <c r="J8" s="8"/>
      <c r="K8" s="8"/>
      <c r="L8" s="8"/>
      <c r="M8" s="9"/>
      <c r="N8" s="3"/>
      <c r="O8" s="8" t="s">
        <v>9</v>
      </c>
      <c r="P8" s="8" t="s">
        <v>10</v>
      </c>
      <c r="Q8" s="8" t="s">
        <v>11</v>
      </c>
      <c r="R8" s="3"/>
    </row>
    <row r="9" spans="5:18" ht="21" x14ac:dyDescent="0.25">
      <c r="E9" s="31">
        <v>3</v>
      </c>
      <c r="F9" s="18"/>
      <c r="G9" s="18"/>
      <c r="H9" s="18"/>
      <c r="I9" s="18"/>
      <c r="J9" s="18"/>
      <c r="K9" s="18" t="s">
        <v>2</v>
      </c>
      <c r="L9" s="18"/>
      <c r="M9" s="9"/>
      <c r="N9" s="3"/>
      <c r="O9" s="8" t="s">
        <v>12</v>
      </c>
      <c r="P9" s="8" t="s">
        <v>13</v>
      </c>
      <c r="Q9" s="8" t="s">
        <v>14</v>
      </c>
      <c r="R9" s="3"/>
    </row>
    <row r="10" spans="5:18" ht="21" x14ac:dyDescent="0.25">
      <c r="E10" s="31">
        <v>4</v>
      </c>
      <c r="F10" s="18"/>
      <c r="G10" s="18" t="s">
        <v>3</v>
      </c>
      <c r="H10" s="18"/>
      <c r="I10" s="18" t="s">
        <v>19</v>
      </c>
      <c r="J10" s="18" t="s">
        <v>0</v>
      </c>
      <c r="K10" s="18" t="s">
        <v>13</v>
      </c>
      <c r="L10" s="18" t="s">
        <v>10</v>
      </c>
      <c r="M10" s="9"/>
      <c r="N10" s="3"/>
      <c r="O10" s="8" t="s">
        <v>15</v>
      </c>
      <c r="P10" s="8" t="s">
        <v>16</v>
      </c>
      <c r="Q10" s="8" t="s">
        <v>17</v>
      </c>
      <c r="R10" s="3"/>
    </row>
    <row r="11" spans="5:18" ht="21" x14ac:dyDescent="0.25">
      <c r="E11" s="31">
        <v>5</v>
      </c>
      <c r="F11" s="18"/>
      <c r="G11" s="19" t="s">
        <v>14</v>
      </c>
      <c r="H11" s="18"/>
      <c r="I11" s="18" t="s">
        <v>19</v>
      </c>
      <c r="J11" s="18"/>
      <c r="K11" s="18"/>
      <c r="L11" s="18"/>
      <c r="M11" s="9"/>
      <c r="N11" s="3"/>
      <c r="O11" s="8" t="s">
        <v>18</v>
      </c>
      <c r="P11" s="8" t="s">
        <v>19</v>
      </c>
      <c r="Q11" s="8" t="s">
        <v>20</v>
      </c>
      <c r="R11" s="3"/>
    </row>
    <row r="12" spans="5:18" ht="21" x14ac:dyDescent="0.25">
      <c r="E12" s="31">
        <v>6</v>
      </c>
      <c r="F12" s="18"/>
      <c r="G12" s="18" t="s">
        <v>3</v>
      </c>
      <c r="H12" s="18"/>
      <c r="I12" s="18"/>
      <c r="J12" s="18"/>
      <c r="K12" s="18"/>
      <c r="L12" s="18"/>
      <c r="M12" s="9"/>
      <c r="N12" s="3"/>
      <c r="O12" s="8" t="s">
        <v>21</v>
      </c>
      <c r="P12" s="8" t="s">
        <v>22</v>
      </c>
      <c r="Q12" s="8" t="s">
        <v>23</v>
      </c>
      <c r="R12" s="3"/>
    </row>
    <row r="13" spans="5:18" ht="21" x14ac:dyDescent="0.25">
      <c r="E13" s="31">
        <v>7</v>
      </c>
      <c r="F13" s="18"/>
      <c r="G13" s="18" t="s">
        <v>6</v>
      </c>
      <c r="H13" s="18"/>
      <c r="I13" s="18"/>
      <c r="J13" s="18"/>
      <c r="K13" s="18"/>
      <c r="L13" s="18"/>
      <c r="M13" s="9"/>
      <c r="N13" s="3"/>
      <c r="O13" s="8" t="s">
        <v>24</v>
      </c>
      <c r="P13" s="8" t="s">
        <v>25</v>
      </c>
      <c r="Q13" s="33"/>
      <c r="R13" s="3"/>
    </row>
    <row r="14" spans="5:18" ht="21.75" thickBot="1" x14ac:dyDescent="0.3">
      <c r="E14" s="32">
        <v>8</v>
      </c>
      <c r="F14" s="11"/>
      <c r="G14" s="11" t="s">
        <v>4</v>
      </c>
      <c r="H14" s="11"/>
      <c r="I14" s="11"/>
      <c r="J14" s="11"/>
      <c r="K14" s="11"/>
      <c r="L14" s="11"/>
      <c r="M14" s="12"/>
      <c r="N14" s="3"/>
      <c r="O14" s="3"/>
      <c r="P14" s="3"/>
      <c r="Q14" s="3"/>
      <c r="R14" s="3"/>
    </row>
    <row r="15" spans="5:18" ht="21.75" thickBot="1" x14ac:dyDescent="0.3"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5:18" ht="21.75" thickBot="1" x14ac:dyDescent="0.3">
      <c r="E16" s="117" t="s">
        <v>28</v>
      </c>
      <c r="F16" s="118"/>
      <c r="G16" s="118"/>
      <c r="H16" s="118"/>
      <c r="I16" s="118"/>
      <c r="J16" s="118"/>
      <c r="K16" s="118"/>
      <c r="L16" s="118"/>
      <c r="M16" s="119"/>
      <c r="N16" s="3"/>
      <c r="O16" s="8" t="s">
        <v>0</v>
      </c>
      <c r="P16" s="8" t="s">
        <v>1</v>
      </c>
      <c r="Q16" s="8" t="s">
        <v>2</v>
      </c>
      <c r="R16" s="3"/>
    </row>
    <row r="17" spans="5:18" ht="21.75" thickBot="1" x14ac:dyDescent="0.3">
      <c r="E17" s="21">
        <v>1</v>
      </c>
      <c r="F17" s="22" t="s">
        <v>3</v>
      </c>
      <c r="G17" s="22" t="s">
        <v>14</v>
      </c>
      <c r="H17" s="22" t="s">
        <v>6</v>
      </c>
      <c r="I17" s="23"/>
      <c r="J17" s="23"/>
      <c r="K17" s="23"/>
      <c r="L17" s="23"/>
      <c r="M17" s="24"/>
      <c r="N17" s="3"/>
      <c r="O17" s="8" t="s">
        <v>3</v>
      </c>
      <c r="P17" s="8" t="s">
        <v>4</v>
      </c>
      <c r="Q17" s="8" t="s">
        <v>5</v>
      </c>
      <c r="R17" s="3"/>
    </row>
    <row r="18" spans="5:18" ht="21.75" thickBot="1" x14ac:dyDescent="0.3">
      <c r="E18" s="21">
        <v>2</v>
      </c>
      <c r="F18" s="22" t="s">
        <v>1</v>
      </c>
      <c r="G18" s="22" t="s">
        <v>14</v>
      </c>
      <c r="H18" s="22" t="s">
        <v>0</v>
      </c>
      <c r="I18" s="22" t="s">
        <v>19</v>
      </c>
      <c r="J18" s="23"/>
      <c r="K18" s="23"/>
      <c r="L18" s="23"/>
      <c r="M18" s="24"/>
      <c r="N18" s="3"/>
      <c r="O18" s="8" t="s">
        <v>6</v>
      </c>
      <c r="P18" s="8" t="s">
        <v>7</v>
      </c>
      <c r="Q18" s="8" t="s">
        <v>8</v>
      </c>
      <c r="R18" s="3"/>
    </row>
    <row r="19" spans="5:18" ht="21.75" thickBot="1" x14ac:dyDescent="0.3">
      <c r="E19" s="21">
        <v>3</v>
      </c>
      <c r="F19" s="22" t="s">
        <v>11</v>
      </c>
      <c r="G19" s="22" t="s">
        <v>0</v>
      </c>
      <c r="H19" s="22" t="s">
        <v>17</v>
      </c>
      <c r="I19" s="22" t="s">
        <v>6</v>
      </c>
      <c r="J19" s="22" t="s">
        <v>4</v>
      </c>
      <c r="K19" s="23"/>
      <c r="L19" s="23"/>
      <c r="M19" s="24"/>
      <c r="N19" s="3"/>
      <c r="O19" s="8" t="s">
        <v>9</v>
      </c>
      <c r="P19" s="8" t="s">
        <v>10</v>
      </c>
      <c r="Q19" s="8" t="s">
        <v>11</v>
      </c>
      <c r="R19" s="3"/>
    </row>
    <row r="20" spans="5:18" ht="21" x14ac:dyDescent="0.25">
      <c r="E20" s="28"/>
      <c r="F20" s="29" t="s">
        <v>0</v>
      </c>
      <c r="G20" s="29" t="s">
        <v>1</v>
      </c>
      <c r="H20" s="29" t="s">
        <v>2</v>
      </c>
      <c r="I20" s="29" t="s">
        <v>3</v>
      </c>
      <c r="J20" s="29" t="s">
        <v>4</v>
      </c>
      <c r="K20" s="29" t="s">
        <v>5</v>
      </c>
      <c r="L20" s="29" t="s">
        <v>6</v>
      </c>
      <c r="M20" s="30" t="s">
        <v>7</v>
      </c>
      <c r="N20" s="3"/>
      <c r="O20" s="8" t="s">
        <v>12</v>
      </c>
      <c r="P20" s="8" t="s">
        <v>13</v>
      </c>
      <c r="Q20" s="8" t="s">
        <v>14</v>
      </c>
      <c r="R20" s="3"/>
    </row>
    <row r="21" spans="5:18" ht="21" x14ac:dyDescent="0.25">
      <c r="E21" s="31">
        <v>1</v>
      </c>
      <c r="F21" s="8"/>
      <c r="G21" s="8"/>
      <c r="H21" s="8"/>
      <c r="I21" s="8"/>
      <c r="J21" s="8"/>
      <c r="K21" s="8"/>
      <c r="L21" s="8"/>
      <c r="M21" s="9"/>
      <c r="N21" s="3"/>
      <c r="O21" s="8" t="s">
        <v>15</v>
      </c>
      <c r="P21" s="8" t="s">
        <v>16</v>
      </c>
      <c r="Q21" s="8" t="s">
        <v>17</v>
      </c>
      <c r="R21" s="3"/>
    </row>
    <row r="22" spans="5:18" ht="21" x14ac:dyDescent="0.25">
      <c r="E22" s="31">
        <v>2</v>
      </c>
      <c r="F22" s="8"/>
      <c r="G22" s="8"/>
      <c r="H22" s="8" t="s">
        <v>1</v>
      </c>
      <c r="I22" s="8"/>
      <c r="J22" s="8"/>
      <c r="K22" s="8"/>
      <c r="L22" s="8"/>
      <c r="M22" s="9"/>
      <c r="N22" s="3"/>
      <c r="O22" s="8" t="s">
        <v>18</v>
      </c>
      <c r="P22" s="8" t="s">
        <v>19</v>
      </c>
      <c r="Q22" s="8" t="s">
        <v>20</v>
      </c>
      <c r="R22" s="3"/>
    </row>
    <row r="23" spans="5:18" ht="21" x14ac:dyDescent="0.25">
      <c r="E23" s="31">
        <v>3</v>
      </c>
      <c r="F23" s="8"/>
      <c r="G23" s="8"/>
      <c r="H23" s="8" t="s">
        <v>14</v>
      </c>
      <c r="I23" s="8"/>
      <c r="J23" s="8"/>
      <c r="K23" s="8"/>
      <c r="L23" s="8"/>
      <c r="M23" s="9"/>
      <c r="N23" s="3"/>
      <c r="O23" s="8" t="s">
        <v>21</v>
      </c>
      <c r="P23" s="8" t="s">
        <v>22</v>
      </c>
      <c r="Q23" s="8" t="s">
        <v>23</v>
      </c>
      <c r="R23" s="3"/>
    </row>
    <row r="24" spans="5:18" ht="21" x14ac:dyDescent="0.25">
      <c r="E24" s="31">
        <v>4</v>
      </c>
      <c r="F24" s="8"/>
      <c r="G24" s="8"/>
      <c r="H24" s="8" t="s">
        <v>0</v>
      </c>
      <c r="I24" s="8"/>
      <c r="J24" s="8" t="s">
        <v>4</v>
      </c>
      <c r="K24" s="8"/>
      <c r="L24" s="8"/>
      <c r="M24" s="9"/>
      <c r="N24" s="3"/>
      <c r="O24" s="8" t="s">
        <v>24</v>
      </c>
      <c r="P24" s="8" t="s">
        <v>25</v>
      </c>
      <c r="Q24" s="33"/>
      <c r="R24" s="3"/>
    </row>
    <row r="25" spans="5:18" ht="21" x14ac:dyDescent="0.25">
      <c r="E25" s="31">
        <v>5</v>
      </c>
      <c r="F25" s="8"/>
      <c r="G25" s="8"/>
      <c r="H25" s="8" t="s">
        <v>19</v>
      </c>
      <c r="I25" s="8" t="s">
        <v>6</v>
      </c>
      <c r="J25" s="8"/>
      <c r="K25" s="8"/>
      <c r="L25" s="8"/>
      <c r="M25" s="9"/>
      <c r="N25" s="3"/>
      <c r="O25" s="3"/>
      <c r="P25" s="3"/>
      <c r="Q25" s="3"/>
      <c r="R25" s="3"/>
    </row>
    <row r="26" spans="5:18" ht="21" x14ac:dyDescent="0.25">
      <c r="E26" s="31">
        <v>6</v>
      </c>
      <c r="F26" s="8"/>
      <c r="G26" s="8"/>
      <c r="H26" s="8" t="s">
        <v>17</v>
      </c>
      <c r="I26" s="8"/>
      <c r="J26" s="8"/>
      <c r="K26" s="8"/>
      <c r="L26" s="8"/>
      <c r="M26" s="9"/>
      <c r="N26" s="3"/>
      <c r="O26" s="3"/>
      <c r="P26" s="3"/>
      <c r="Q26" s="3"/>
      <c r="R26" s="3"/>
    </row>
    <row r="27" spans="5:18" ht="21" x14ac:dyDescent="0.25">
      <c r="E27" s="31">
        <v>7</v>
      </c>
      <c r="F27" s="8"/>
      <c r="G27" s="8" t="s">
        <v>0</v>
      </c>
      <c r="H27" s="8"/>
      <c r="I27" s="8"/>
      <c r="J27" s="8"/>
      <c r="K27" s="8" t="s">
        <v>3</v>
      </c>
      <c r="L27" s="8" t="s">
        <v>14</v>
      </c>
      <c r="M27" s="9" t="s">
        <v>6</v>
      </c>
      <c r="N27" s="3"/>
      <c r="O27" s="3"/>
      <c r="P27" s="3"/>
      <c r="Q27" s="3"/>
      <c r="R27" s="3"/>
    </row>
    <row r="28" spans="5:18" ht="21.75" thickBot="1" x14ac:dyDescent="0.3">
      <c r="E28" s="32">
        <v>8</v>
      </c>
      <c r="F28" s="11" t="s">
        <v>11</v>
      </c>
      <c r="G28" s="11"/>
      <c r="H28" s="11"/>
      <c r="I28" s="11"/>
      <c r="J28" s="11"/>
      <c r="K28" s="11"/>
      <c r="L28" s="11"/>
      <c r="M28" s="12"/>
      <c r="N28" s="3"/>
      <c r="O28" s="3"/>
      <c r="P28" s="3"/>
      <c r="Q28" s="3"/>
      <c r="R28" s="3"/>
    </row>
  </sheetData>
  <mergeCells count="2">
    <mergeCell ref="E5:M5"/>
    <mergeCell ref="E16:M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47ED1-575A-4963-BF7D-21956D3CF719}">
  <dimension ref="D1:BB52"/>
  <sheetViews>
    <sheetView topLeftCell="P1" workbookViewId="0">
      <selection activeCell="AW1" sqref="AW1:BB52"/>
    </sheetView>
  </sheetViews>
  <sheetFormatPr defaultColWidth="3.28515625" defaultRowHeight="17.25" customHeight="1" x14ac:dyDescent="0.25"/>
  <cols>
    <col min="27" max="27" width="12.42578125" style="166" bestFit="1" customWidth="1"/>
    <col min="28" max="28" width="10.5703125" style="192" bestFit="1" customWidth="1"/>
    <col min="29" max="29" width="10.5703125" style="192" customWidth="1"/>
    <col min="30" max="30" width="12.5703125" style="165" bestFit="1" customWidth="1"/>
    <col min="31" max="31" width="11.7109375" style="165" bestFit="1" customWidth="1"/>
    <col min="32" max="32" width="12.28515625" style="165" bestFit="1" customWidth="1"/>
    <col min="40" max="40" width="8.140625" bestFit="1" customWidth="1"/>
    <col min="48" max="48" width="8.7109375" customWidth="1"/>
    <col min="49" max="49" width="12.42578125" bestFit="1" customWidth="1"/>
    <col min="50" max="50" width="10.5703125" bestFit="1" customWidth="1"/>
    <col min="51" max="51" width="10.42578125" bestFit="1" customWidth="1"/>
    <col min="52" max="52" width="12.5703125" bestFit="1" customWidth="1"/>
    <col min="53" max="53" width="11.7109375" bestFit="1" customWidth="1"/>
    <col min="54" max="54" width="12.28515625" bestFit="1" customWidth="1"/>
  </cols>
  <sheetData>
    <row r="1" spans="4:54" ht="17.25" customHeight="1" thickBot="1" x14ac:dyDescent="0.3">
      <c r="D1" s="185" t="s">
        <v>48</v>
      </c>
      <c r="E1" s="186"/>
      <c r="F1" s="186"/>
      <c r="G1" s="186"/>
      <c r="H1" s="186"/>
      <c r="I1" s="186"/>
      <c r="J1" s="186"/>
      <c r="K1" s="186"/>
      <c r="L1" s="187"/>
      <c r="N1" s="175" t="s">
        <v>72</v>
      </c>
      <c r="O1" s="176"/>
      <c r="P1" s="177"/>
      <c r="AA1" s="166" t="s">
        <v>52</v>
      </c>
      <c r="AB1" s="191" t="s">
        <v>41</v>
      </c>
      <c r="AC1" s="191" t="s">
        <v>74</v>
      </c>
      <c r="AD1" s="165" t="s">
        <v>45</v>
      </c>
      <c r="AE1" s="165" t="s">
        <v>42</v>
      </c>
      <c r="AF1" s="165" t="s">
        <v>43</v>
      </c>
      <c r="AW1" s="204" t="s">
        <v>52</v>
      </c>
      <c r="AX1" s="205" t="s">
        <v>41</v>
      </c>
      <c r="AY1" s="205" t="s">
        <v>73</v>
      </c>
      <c r="AZ1" s="206" t="s">
        <v>45</v>
      </c>
      <c r="BA1" s="206" t="s">
        <v>42</v>
      </c>
      <c r="BB1" s="207" t="s">
        <v>43</v>
      </c>
    </row>
    <row r="2" spans="4:54" ht="17.25" customHeight="1" thickBot="1" x14ac:dyDescent="0.3">
      <c r="D2" s="21">
        <v>1</v>
      </c>
      <c r="E2" s="194" t="s">
        <v>17</v>
      </c>
      <c r="F2" s="194" t="s">
        <v>0</v>
      </c>
      <c r="G2" s="194" t="s">
        <v>22</v>
      </c>
      <c r="H2" s="23"/>
      <c r="I2" s="23"/>
      <c r="J2" s="23"/>
      <c r="K2" s="23"/>
      <c r="L2" s="24"/>
      <c r="N2" s="182"/>
      <c r="O2" s="181"/>
      <c r="P2" s="183"/>
      <c r="T2" s="162" t="s">
        <v>48</v>
      </c>
      <c r="U2" s="163"/>
      <c r="V2" s="163"/>
      <c r="W2" s="164"/>
      <c r="AA2" s="166" t="s">
        <v>47</v>
      </c>
      <c r="AB2" s="191">
        <v>21</v>
      </c>
      <c r="AC2" s="191">
        <v>41</v>
      </c>
      <c r="AD2" s="165" t="s">
        <v>49</v>
      </c>
      <c r="AE2" s="165" t="s">
        <v>65</v>
      </c>
      <c r="AF2" s="165" t="s">
        <v>44</v>
      </c>
      <c r="AW2" s="208" t="s">
        <v>47</v>
      </c>
      <c r="AX2" s="209">
        <v>1</v>
      </c>
      <c r="AY2" s="209">
        <v>1</v>
      </c>
      <c r="AZ2" s="210" t="s">
        <v>46</v>
      </c>
      <c r="BA2" s="210" t="s">
        <v>4</v>
      </c>
      <c r="BB2" s="211" t="s">
        <v>44</v>
      </c>
    </row>
    <row r="3" spans="4:54" ht="17.25" customHeight="1" thickBot="1" x14ac:dyDescent="0.3">
      <c r="D3" s="21">
        <v>2</v>
      </c>
      <c r="E3" s="194" t="s">
        <v>7</v>
      </c>
      <c r="F3" s="194" t="s">
        <v>14</v>
      </c>
      <c r="G3" s="194" t="s">
        <v>11</v>
      </c>
      <c r="H3" s="194" t="s">
        <v>3</v>
      </c>
      <c r="I3" s="23"/>
      <c r="J3" s="23"/>
      <c r="K3" s="23"/>
      <c r="L3" s="24"/>
      <c r="N3" s="178"/>
      <c r="O3" s="179"/>
      <c r="P3" s="180"/>
      <c r="T3" s="162" t="s">
        <v>36</v>
      </c>
      <c r="U3" s="163"/>
      <c r="V3" s="163"/>
      <c r="W3" s="169">
        <f>SUM(AN4:AN7)</f>
        <v>16</v>
      </c>
      <c r="AA3" s="166" t="s">
        <v>48</v>
      </c>
      <c r="AB3" s="191">
        <v>21</v>
      </c>
      <c r="AC3" s="191">
        <v>42</v>
      </c>
      <c r="AD3" s="165" t="s">
        <v>49</v>
      </c>
      <c r="AE3" s="165" t="s">
        <v>66</v>
      </c>
      <c r="AF3" s="165" t="s">
        <v>51</v>
      </c>
      <c r="AK3" s="162" t="s">
        <v>48</v>
      </c>
      <c r="AL3" s="163"/>
      <c r="AM3" s="163"/>
      <c r="AN3" s="164"/>
      <c r="AW3" s="208" t="s">
        <v>48</v>
      </c>
      <c r="AX3" s="209">
        <v>1</v>
      </c>
      <c r="AY3" s="209">
        <v>2</v>
      </c>
      <c r="AZ3" s="210" t="s">
        <v>49</v>
      </c>
      <c r="BA3" s="210" t="s">
        <v>50</v>
      </c>
      <c r="BB3" s="211" t="s">
        <v>51</v>
      </c>
    </row>
    <row r="4" spans="4:54" ht="17.25" customHeight="1" thickBot="1" x14ac:dyDescent="0.3">
      <c r="D4" s="21">
        <v>3</v>
      </c>
      <c r="E4" s="194" t="s">
        <v>1</v>
      </c>
      <c r="F4" s="194" t="s">
        <v>4</v>
      </c>
      <c r="G4" s="194" t="s">
        <v>0</v>
      </c>
      <c r="H4" s="194" t="s">
        <v>18</v>
      </c>
      <c r="I4" s="194" t="s">
        <v>19</v>
      </c>
      <c r="J4" s="23"/>
      <c r="K4" s="23"/>
      <c r="L4" s="24"/>
      <c r="M4" s="3"/>
      <c r="N4" s="195" t="s">
        <v>0</v>
      </c>
      <c r="O4" s="196" t="s">
        <v>1</v>
      </c>
      <c r="P4" s="173" t="s">
        <v>2</v>
      </c>
      <c r="AA4" s="166" t="s">
        <v>47</v>
      </c>
      <c r="AB4" s="191">
        <v>22</v>
      </c>
      <c r="AC4" s="191">
        <v>43</v>
      </c>
      <c r="AD4" s="165" t="s">
        <v>49</v>
      </c>
      <c r="AE4" s="165" t="s">
        <v>67</v>
      </c>
      <c r="AF4" s="165" t="s">
        <v>44</v>
      </c>
      <c r="AK4" s="162" t="s">
        <v>36</v>
      </c>
      <c r="AL4" s="163"/>
      <c r="AM4" s="163"/>
      <c r="AN4" s="169">
        <f>COUNTIFS(Table2[PLAYER], "ME", Table2[STATUS], "MISS")</f>
        <v>14</v>
      </c>
      <c r="AW4" s="208" t="s">
        <v>47</v>
      </c>
      <c r="AX4" s="209">
        <v>2</v>
      </c>
      <c r="AY4" s="209">
        <v>3</v>
      </c>
      <c r="AZ4" s="210" t="s">
        <v>46</v>
      </c>
      <c r="BA4" s="210" t="s">
        <v>0</v>
      </c>
      <c r="BB4" s="211" t="s">
        <v>44</v>
      </c>
    </row>
    <row r="5" spans="4:54" ht="17.25" customHeight="1" thickBot="1" x14ac:dyDescent="0.3">
      <c r="D5" s="27"/>
      <c r="E5" s="167" t="s">
        <v>0</v>
      </c>
      <c r="F5" s="167" t="s">
        <v>1</v>
      </c>
      <c r="G5" s="167" t="s">
        <v>2</v>
      </c>
      <c r="H5" s="167" t="s">
        <v>3</v>
      </c>
      <c r="I5" s="167" t="s">
        <v>4</v>
      </c>
      <c r="J5" s="167" t="s">
        <v>5</v>
      </c>
      <c r="K5" s="167" t="s">
        <v>6</v>
      </c>
      <c r="L5" s="168" t="s">
        <v>7</v>
      </c>
      <c r="M5" s="3"/>
      <c r="N5" s="197" t="s">
        <v>3</v>
      </c>
      <c r="O5" s="193" t="s">
        <v>4</v>
      </c>
      <c r="P5" s="9" t="s">
        <v>5</v>
      </c>
      <c r="T5" s="170" t="s">
        <v>57</v>
      </c>
      <c r="U5" s="171"/>
      <c r="V5" s="171"/>
      <c r="W5" s="171"/>
      <c r="X5" s="171"/>
      <c r="Y5" s="172"/>
      <c r="AA5" s="166" t="s">
        <v>48</v>
      </c>
      <c r="AB5" s="191">
        <v>22</v>
      </c>
      <c r="AC5" s="191">
        <v>44</v>
      </c>
      <c r="AD5" s="165" t="s">
        <v>49</v>
      </c>
      <c r="AE5" s="165" t="s">
        <v>68</v>
      </c>
      <c r="AF5" s="165" t="s">
        <v>51</v>
      </c>
      <c r="AK5" s="162" t="s">
        <v>56</v>
      </c>
      <c r="AL5" s="163"/>
      <c r="AM5" s="163"/>
      <c r="AN5" s="164">
        <f>(COUNTIFS(Table2[PLAYER], "ME",Table2[TYPE],"WORD", Table2[STATUS], "MISS"))*2</f>
        <v>0</v>
      </c>
      <c r="AW5" s="208" t="s">
        <v>48</v>
      </c>
      <c r="AX5" s="209">
        <v>2</v>
      </c>
      <c r="AY5" s="209">
        <v>4</v>
      </c>
      <c r="AZ5" s="210" t="s">
        <v>46</v>
      </c>
      <c r="BA5" s="210" t="s">
        <v>14</v>
      </c>
      <c r="BB5" s="211" t="s">
        <v>44</v>
      </c>
    </row>
    <row r="6" spans="4:54" ht="17.25" customHeight="1" thickBot="1" x14ac:dyDescent="0.3">
      <c r="D6" s="31">
        <v>1</v>
      </c>
      <c r="E6" s="43"/>
      <c r="F6" s="8"/>
      <c r="G6" s="8" t="s">
        <v>1</v>
      </c>
      <c r="H6" s="8"/>
      <c r="I6" s="8"/>
      <c r="J6" s="43"/>
      <c r="K6" s="8"/>
      <c r="L6" s="8"/>
      <c r="M6" s="3"/>
      <c r="N6" s="174" t="s">
        <v>6</v>
      </c>
      <c r="O6" s="193" t="s">
        <v>7</v>
      </c>
      <c r="P6" s="9" t="s">
        <v>8</v>
      </c>
      <c r="T6" s="162"/>
      <c r="U6" s="163"/>
      <c r="V6" s="163"/>
      <c r="W6" s="163"/>
      <c r="X6" s="163"/>
      <c r="Y6" s="164"/>
      <c r="AA6" s="166" t="s">
        <v>47</v>
      </c>
      <c r="AB6" s="191">
        <v>23</v>
      </c>
      <c r="AC6" s="191">
        <v>45</v>
      </c>
      <c r="AD6" s="165" t="s">
        <v>49</v>
      </c>
      <c r="AE6" s="165" t="s">
        <v>69</v>
      </c>
      <c r="AF6" s="165" t="s">
        <v>51</v>
      </c>
      <c r="AK6" s="162" t="s">
        <v>36</v>
      </c>
      <c r="AL6" s="163"/>
      <c r="AM6" s="163"/>
      <c r="AN6" s="169">
        <f>COUNTIFS(Table1[PLAYER], "ME", Table1[STATUS], "MISS")</f>
        <v>2</v>
      </c>
      <c r="AW6" s="208" t="s">
        <v>47</v>
      </c>
      <c r="AX6" s="209">
        <v>3</v>
      </c>
      <c r="AY6" s="209">
        <v>5</v>
      </c>
      <c r="AZ6" s="210" t="s">
        <v>46</v>
      </c>
      <c r="BA6" s="210" t="s">
        <v>17</v>
      </c>
      <c r="BB6" s="211" t="s">
        <v>44</v>
      </c>
    </row>
    <row r="7" spans="4:54" ht="17.25" customHeight="1" thickBot="1" x14ac:dyDescent="0.3">
      <c r="D7" s="31">
        <v>2</v>
      </c>
      <c r="E7" s="8"/>
      <c r="F7" s="8"/>
      <c r="G7" s="8" t="s">
        <v>4</v>
      </c>
      <c r="H7" s="8"/>
      <c r="I7" s="8"/>
      <c r="J7" s="8"/>
      <c r="K7" s="8"/>
      <c r="L7" s="8"/>
      <c r="M7" s="3"/>
      <c r="N7" s="7" t="s">
        <v>9</v>
      </c>
      <c r="O7" s="8" t="s">
        <v>10</v>
      </c>
      <c r="P7" s="198" t="s">
        <v>11</v>
      </c>
      <c r="AA7" s="166" t="s">
        <v>48</v>
      </c>
      <c r="AB7" s="191">
        <v>23</v>
      </c>
      <c r="AC7" s="191">
        <v>46</v>
      </c>
      <c r="AD7" s="165" t="s">
        <v>46</v>
      </c>
      <c r="AE7" s="165" t="s">
        <v>7</v>
      </c>
      <c r="AF7" s="165" t="s">
        <v>44</v>
      </c>
      <c r="AK7" s="162" t="s">
        <v>56</v>
      </c>
      <c r="AL7" s="163"/>
      <c r="AM7" s="163"/>
      <c r="AN7" s="164">
        <f>(COUNTIFS(Table1[PLAYER], "ME",Table1[TYPE],"WORD", Table1[STATUS], "MISS"))*2</f>
        <v>0</v>
      </c>
      <c r="AW7" s="208" t="s">
        <v>48</v>
      </c>
      <c r="AX7" s="209">
        <v>3</v>
      </c>
      <c r="AY7" s="209">
        <v>6</v>
      </c>
      <c r="AZ7" s="210" t="s">
        <v>46</v>
      </c>
      <c r="BA7" s="210" t="s">
        <v>19</v>
      </c>
      <c r="BB7" s="211" t="s">
        <v>51</v>
      </c>
    </row>
    <row r="8" spans="4:54" ht="17.25" customHeight="1" x14ac:dyDescent="0.25">
      <c r="D8" s="31">
        <v>3</v>
      </c>
      <c r="E8" s="18"/>
      <c r="F8" s="193" t="s">
        <v>17</v>
      </c>
      <c r="G8" s="193" t="s">
        <v>0</v>
      </c>
      <c r="H8" s="193" t="s">
        <v>22</v>
      </c>
      <c r="I8" s="18"/>
      <c r="J8" s="18"/>
      <c r="K8" s="18"/>
      <c r="L8" s="8"/>
      <c r="M8" s="3"/>
      <c r="N8" s="174" t="s">
        <v>12</v>
      </c>
      <c r="O8" s="43" t="s">
        <v>13</v>
      </c>
      <c r="P8" s="198" t="s">
        <v>14</v>
      </c>
      <c r="AA8" s="166" t="s">
        <v>47</v>
      </c>
      <c r="AB8" s="191">
        <v>24</v>
      </c>
      <c r="AC8" s="191">
        <v>47</v>
      </c>
      <c r="AD8" s="165" t="s">
        <v>49</v>
      </c>
      <c r="AE8" s="165" t="s">
        <v>70</v>
      </c>
      <c r="AF8" s="165" t="s">
        <v>51</v>
      </c>
      <c r="AW8" s="208" t="s">
        <v>47</v>
      </c>
      <c r="AX8" s="209">
        <v>4</v>
      </c>
      <c r="AY8" s="209">
        <v>7</v>
      </c>
      <c r="AZ8" s="210" t="s">
        <v>46</v>
      </c>
      <c r="BA8" s="210" t="s">
        <v>19</v>
      </c>
      <c r="BB8" s="211" t="s">
        <v>44</v>
      </c>
    </row>
    <row r="9" spans="4:54" ht="17.25" customHeight="1" x14ac:dyDescent="0.25">
      <c r="D9" s="31">
        <v>4</v>
      </c>
      <c r="E9" s="43"/>
      <c r="F9" s="18"/>
      <c r="G9" s="8" t="s">
        <v>18</v>
      </c>
      <c r="H9" s="18"/>
      <c r="I9" s="18"/>
      <c r="J9" s="18"/>
      <c r="K9" s="18"/>
      <c r="L9" s="8"/>
      <c r="M9" s="3"/>
      <c r="N9" s="174" t="s">
        <v>15</v>
      </c>
      <c r="O9" s="8" t="s">
        <v>16</v>
      </c>
      <c r="P9" s="198" t="s">
        <v>17</v>
      </c>
      <c r="AA9" s="166" t="s">
        <v>48</v>
      </c>
      <c r="AB9" s="191">
        <v>24</v>
      </c>
      <c r="AC9" s="191">
        <v>48</v>
      </c>
      <c r="AD9" s="165" t="s">
        <v>49</v>
      </c>
      <c r="AE9" s="165" t="s">
        <v>71</v>
      </c>
      <c r="AF9" s="165" t="s">
        <v>44</v>
      </c>
      <c r="AW9" s="208" t="s">
        <v>48</v>
      </c>
      <c r="AX9" s="209">
        <v>4</v>
      </c>
      <c r="AY9" s="209">
        <v>8</v>
      </c>
      <c r="AZ9" s="210" t="s">
        <v>46</v>
      </c>
      <c r="BA9" s="210" t="s">
        <v>18</v>
      </c>
      <c r="BB9" s="211" t="s">
        <v>44</v>
      </c>
    </row>
    <row r="10" spans="4:54" ht="17.25" customHeight="1" x14ac:dyDescent="0.25">
      <c r="D10" s="31">
        <v>5</v>
      </c>
      <c r="E10" s="18"/>
      <c r="F10" s="19"/>
      <c r="G10" s="8" t="s">
        <v>19</v>
      </c>
      <c r="H10" s="18"/>
      <c r="I10" s="43"/>
      <c r="J10" s="18"/>
      <c r="K10" s="18"/>
      <c r="L10" s="8" t="s">
        <v>7</v>
      </c>
      <c r="M10" s="3"/>
      <c r="N10" s="7" t="s">
        <v>18</v>
      </c>
      <c r="O10" s="8" t="s">
        <v>19</v>
      </c>
      <c r="P10" s="9" t="s">
        <v>20</v>
      </c>
      <c r="AA10" s="166" t="s">
        <v>47</v>
      </c>
      <c r="AB10" s="191">
        <v>25</v>
      </c>
      <c r="AC10" s="191">
        <v>49</v>
      </c>
      <c r="AD10" s="165" t="s">
        <v>49</v>
      </c>
      <c r="AE10" s="165" t="s">
        <v>75</v>
      </c>
      <c r="AF10" s="165" t="s">
        <v>51</v>
      </c>
      <c r="AW10" s="208" t="s">
        <v>47</v>
      </c>
      <c r="AX10" s="209">
        <v>5</v>
      </c>
      <c r="AY10" s="209">
        <v>9</v>
      </c>
      <c r="AZ10" s="210" t="s">
        <v>46</v>
      </c>
      <c r="BA10" s="210" t="s">
        <v>13</v>
      </c>
      <c r="BB10" s="211" t="s">
        <v>51</v>
      </c>
    </row>
    <row r="11" spans="4:54" ht="17.25" customHeight="1" x14ac:dyDescent="0.25">
      <c r="D11" s="31">
        <v>6</v>
      </c>
      <c r="E11" s="18"/>
      <c r="F11" s="18"/>
      <c r="G11" s="18"/>
      <c r="H11" s="18"/>
      <c r="I11" s="18"/>
      <c r="J11" s="18"/>
      <c r="K11" s="18" t="s">
        <v>14</v>
      </c>
      <c r="L11" s="8"/>
      <c r="M11" s="3"/>
      <c r="N11" s="7" t="s">
        <v>21</v>
      </c>
      <c r="O11" s="193" t="s">
        <v>22</v>
      </c>
      <c r="P11" s="9" t="s">
        <v>23</v>
      </c>
      <c r="AA11" s="166" t="s">
        <v>48</v>
      </c>
      <c r="AB11" s="192">
        <v>25</v>
      </c>
      <c r="AC11" s="191">
        <v>50</v>
      </c>
      <c r="AD11" s="165" t="s">
        <v>49</v>
      </c>
      <c r="AE11" s="165" t="s">
        <v>76</v>
      </c>
      <c r="AF11" s="165" t="s">
        <v>44</v>
      </c>
      <c r="AW11" s="208" t="s">
        <v>48</v>
      </c>
      <c r="AX11" s="209">
        <v>5</v>
      </c>
      <c r="AY11" s="209">
        <v>10</v>
      </c>
      <c r="AZ11" s="210" t="s">
        <v>49</v>
      </c>
      <c r="BA11" s="210" t="s">
        <v>53</v>
      </c>
      <c r="BB11" s="211" t="s">
        <v>51</v>
      </c>
    </row>
    <row r="12" spans="4:54" ht="17.25" customHeight="1" thickBot="1" x14ac:dyDescent="0.3">
      <c r="D12" s="31">
        <v>7</v>
      </c>
      <c r="E12" s="18"/>
      <c r="F12" s="18"/>
      <c r="G12" s="18"/>
      <c r="H12" s="18"/>
      <c r="I12" s="18"/>
      <c r="J12" s="18" t="s">
        <v>11</v>
      </c>
      <c r="K12" s="18"/>
      <c r="L12" s="8"/>
      <c r="M12" s="3"/>
      <c r="N12" s="184" t="s">
        <v>24</v>
      </c>
      <c r="O12" s="11" t="s">
        <v>25</v>
      </c>
      <c r="P12" s="36"/>
      <c r="AA12" s="166" t="s">
        <v>77</v>
      </c>
      <c r="AC12" s="191"/>
      <c r="AW12" s="208" t="s">
        <v>47</v>
      </c>
      <c r="AX12" s="209">
        <v>6</v>
      </c>
      <c r="AY12" s="209">
        <v>11</v>
      </c>
      <c r="AZ12" s="210" t="s">
        <v>46</v>
      </c>
      <c r="BA12" s="210" t="s">
        <v>3</v>
      </c>
      <c r="BB12" s="211" t="s">
        <v>44</v>
      </c>
    </row>
    <row r="13" spans="4:54" ht="17.25" customHeight="1" thickBot="1" x14ac:dyDescent="0.3">
      <c r="D13" s="32">
        <v>8</v>
      </c>
      <c r="E13" s="8"/>
      <c r="F13" s="8"/>
      <c r="G13" s="8"/>
      <c r="H13" s="8"/>
      <c r="I13" s="8" t="s">
        <v>3</v>
      </c>
      <c r="J13" s="8"/>
      <c r="K13" s="8"/>
      <c r="L13" s="8"/>
      <c r="M13" s="3"/>
      <c r="AC13" s="191"/>
      <c r="AW13" s="208" t="s">
        <v>48</v>
      </c>
      <c r="AX13" s="209">
        <v>6</v>
      </c>
      <c r="AY13" s="209">
        <v>12</v>
      </c>
      <c r="AZ13" s="210" t="s">
        <v>46</v>
      </c>
      <c r="BA13" s="210" t="s">
        <v>0</v>
      </c>
      <c r="BB13" s="211" t="s">
        <v>44</v>
      </c>
    </row>
    <row r="14" spans="4:54" ht="17.25" customHeight="1" thickBot="1" x14ac:dyDescent="0.3">
      <c r="D14" s="3"/>
      <c r="E14" s="3"/>
      <c r="F14" s="3"/>
      <c r="G14" s="3"/>
      <c r="H14" s="3"/>
      <c r="I14" s="3"/>
      <c r="J14" s="3"/>
      <c r="K14" s="3"/>
      <c r="L14" s="3"/>
      <c r="M14" s="3"/>
      <c r="T14" s="162" t="s">
        <v>47</v>
      </c>
      <c r="U14" s="163"/>
      <c r="V14" s="163"/>
      <c r="W14" s="164"/>
      <c r="AK14" s="162" t="s">
        <v>47</v>
      </c>
      <c r="AL14" s="163"/>
      <c r="AM14" s="163"/>
      <c r="AN14" s="164"/>
      <c r="AW14" s="208" t="s">
        <v>47</v>
      </c>
      <c r="AX14" s="209">
        <v>7</v>
      </c>
      <c r="AY14" s="209">
        <v>13</v>
      </c>
      <c r="AZ14" s="210" t="s">
        <v>54</v>
      </c>
      <c r="BA14" s="210" t="s">
        <v>55</v>
      </c>
      <c r="BB14" s="211" t="s">
        <v>51</v>
      </c>
    </row>
    <row r="15" spans="4:54" ht="17.25" customHeight="1" thickBot="1" x14ac:dyDescent="0.3">
      <c r="D15" s="188" t="s">
        <v>47</v>
      </c>
      <c r="E15" s="189"/>
      <c r="F15" s="189"/>
      <c r="G15" s="189"/>
      <c r="H15" s="189"/>
      <c r="I15" s="189"/>
      <c r="J15" s="189"/>
      <c r="K15" s="189"/>
      <c r="L15" s="190"/>
      <c r="M15" s="3"/>
      <c r="N15" s="175" t="s">
        <v>61</v>
      </c>
      <c r="O15" s="176"/>
      <c r="P15" s="177"/>
      <c r="T15" s="162" t="s">
        <v>36</v>
      </c>
      <c r="U15" s="163"/>
      <c r="V15" s="163"/>
      <c r="W15" s="169">
        <f>SUM(AN15:AN18)</f>
        <v>16</v>
      </c>
      <c r="AK15" s="162" t="s">
        <v>36</v>
      </c>
      <c r="AL15" s="163"/>
      <c r="AM15" s="163"/>
      <c r="AN15" s="169">
        <f>COUNTIFS(Table2[PLAYER], "CLAUDE", Table2[STATUS], "MISS")</f>
        <v>11</v>
      </c>
      <c r="AW15" s="208" t="s">
        <v>48</v>
      </c>
      <c r="AX15" s="209">
        <v>7</v>
      </c>
      <c r="AY15" s="209">
        <v>14</v>
      </c>
      <c r="AZ15" s="210" t="s">
        <v>46</v>
      </c>
      <c r="BA15" s="210" t="s">
        <v>3</v>
      </c>
      <c r="BB15" s="211" t="s">
        <v>44</v>
      </c>
    </row>
    <row r="16" spans="4:54" ht="17.25" customHeight="1" thickBot="1" x14ac:dyDescent="0.3">
      <c r="D16" s="21">
        <v>1</v>
      </c>
      <c r="E16" s="202" t="s">
        <v>7</v>
      </c>
      <c r="F16" s="202" t="s">
        <v>14</v>
      </c>
      <c r="G16" s="202" t="s">
        <v>6</v>
      </c>
      <c r="H16" s="23"/>
      <c r="I16" s="23"/>
      <c r="J16" s="23"/>
      <c r="K16" s="23"/>
      <c r="L16" s="24"/>
      <c r="M16" s="3"/>
      <c r="N16" s="182"/>
      <c r="O16" s="181"/>
      <c r="P16" s="183"/>
      <c r="AK16" s="162" t="s">
        <v>56</v>
      </c>
      <c r="AL16" s="163"/>
      <c r="AM16" s="163"/>
      <c r="AN16" s="164">
        <f>(COUNTIFS(Table2[PLAYER], "CLAUDE",Table2[TYPE],"WORD", Table2[STATUS], "MISS"))*2</f>
        <v>2</v>
      </c>
      <c r="AW16" s="208" t="s">
        <v>47</v>
      </c>
      <c r="AX16" s="209">
        <v>8</v>
      </c>
      <c r="AY16" s="209">
        <v>15</v>
      </c>
      <c r="AZ16" s="210" t="s">
        <v>46</v>
      </c>
      <c r="BA16" s="210" t="s">
        <v>15</v>
      </c>
      <c r="BB16" s="211" t="s">
        <v>51</v>
      </c>
    </row>
    <row r="17" spans="4:54" ht="17.25" customHeight="1" thickBot="1" x14ac:dyDescent="0.3">
      <c r="D17" s="21">
        <v>2</v>
      </c>
      <c r="E17" s="202" t="s">
        <v>17</v>
      </c>
      <c r="F17" s="202" t="s">
        <v>14</v>
      </c>
      <c r="G17" s="202" t="s">
        <v>0</v>
      </c>
      <c r="H17" s="202" t="s">
        <v>3</v>
      </c>
      <c r="I17" s="23"/>
      <c r="J17" s="23"/>
      <c r="K17" s="23"/>
      <c r="L17" s="24"/>
      <c r="M17" s="3"/>
      <c r="N17" s="178"/>
      <c r="O17" s="179"/>
      <c r="P17" s="180"/>
      <c r="T17" s="170" t="s">
        <v>57</v>
      </c>
      <c r="U17" s="171"/>
      <c r="V17" s="171"/>
      <c r="W17" s="171"/>
      <c r="X17" s="171"/>
      <c r="Y17" s="172"/>
      <c r="AK17" s="162" t="s">
        <v>36</v>
      </c>
      <c r="AL17" s="163"/>
      <c r="AM17" s="163"/>
      <c r="AN17" s="169">
        <f>COUNTIFS(Table1[PLAYER], "CLAUDE", Table1[STATUS], "MISS")</f>
        <v>3</v>
      </c>
      <c r="AW17" s="208" t="s">
        <v>48</v>
      </c>
      <c r="AX17" s="209">
        <v>8</v>
      </c>
      <c r="AY17" s="209">
        <v>16</v>
      </c>
      <c r="AZ17" s="210" t="s">
        <v>46</v>
      </c>
      <c r="BA17" s="210" t="s">
        <v>17</v>
      </c>
      <c r="BB17" s="211" t="s">
        <v>44</v>
      </c>
    </row>
    <row r="18" spans="4:54" ht="17.25" customHeight="1" thickBot="1" x14ac:dyDescent="0.3">
      <c r="D18" s="21">
        <v>3</v>
      </c>
      <c r="E18" s="202" t="s">
        <v>18</v>
      </c>
      <c r="F18" s="202" t="s">
        <v>13</v>
      </c>
      <c r="G18" s="202" t="s">
        <v>14</v>
      </c>
      <c r="H18" s="202" t="s">
        <v>17</v>
      </c>
      <c r="I18" s="202" t="s">
        <v>4</v>
      </c>
      <c r="J18" s="23"/>
      <c r="K18" s="23"/>
      <c r="L18" s="24"/>
      <c r="M18" s="3"/>
      <c r="N18" s="199" t="s">
        <v>0</v>
      </c>
      <c r="O18" s="8" t="s">
        <v>1</v>
      </c>
      <c r="P18" s="45" t="s">
        <v>2</v>
      </c>
      <c r="T18" s="162" t="s">
        <v>55</v>
      </c>
      <c r="U18" s="163"/>
      <c r="V18" s="163"/>
      <c r="W18" s="163"/>
      <c r="X18" s="163"/>
      <c r="Y18" s="164"/>
      <c r="AK18" s="162" t="s">
        <v>56</v>
      </c>
      <c r="AL18" s="163"/>
      <c r="AM18" s="163"/>
      <c r="AN18" s="164">
        <f>(COUNTIFS(Table1[PLAYER], "CLAUDE",Table1[TYPE],"WORD", Table1[STATUS], "MISS"))*2</f>
        <v>0</v>
      </c>
      <c r="AW18" s="208" t="s">
        <v>47</v>
      </c>
      <c r="AX18" s="209">
        <v>9</v>
      </c>
      <c r="AY18" s="209">
        <v>17</v>
      </c>
      <c r="AZ18" s="210" t="s">
        <v>46</v>
      </c>
      <c r="BA18" s="210" t="s">
        <v>7</v>
      </c>
      <c r="BB18" s="211" t="s">
        <v>44</v>
      </c>
    </row>
    <row r="19" spans="4:54" ht="17.25" customHeight="1" x14ac:dyDescent="0.25">
      <c r="D19" s="28"/>
      <c r="E19" s="29" t="s">
        <v>0</v>
      </c>
      <c r="F19" s="29" t="s">
        <v>1</v>
      </c>
      <c r="G19" s="29" t="s">
        <v>2</v>
      </c>
      <c r="H19" s="29" t="s">
        <v>3</v>
      </c>
      <c r="I19" s="29" t="s">
        <v>4</v>
      </c>
      <c r="J19" s="29" t="s">
        <v>5</v>
      </c>
      <c r="K19" s="29" t="s">
        <v>6</v>
      </c>
      <c r="L19" s="30" t="s">
        <v>7</v>
      </c>
      <c r="M19" s="3"/>
      <c r="N19" s="199" t="s">
        <v>3</v>
      </c>
      <c r="O19" s="200" t="s">
        <v>4</v>
      </c>
      <c r="P19" s="45" t="s">
        <v>5</v>
      </c>
      <c r="AW19" s="208" t="s">
        <v>48</v>
      </c>
      <c r="AX19" s="209">
        <v>9</v>
      </c>
      <c r="AY19" s="209">
        <v>18</v>
      </c>
      <c r="AZ19" s="210" t="s">
        <v>49</v>
      </c>
      <c r="BA19" s="210" t="s">
        <v>58</v>
      </c>
      <c r="BB19" s="211" t="s">
        <v>51</v>
      </c>
    </row>
    <row r="20" spans="4:54" ht="17.25" customHeight="1" x14ac:dyDescent="0.25">
      <c r="D20" s="31">
        <v>1</v>
      </c>
      <c r="E20" s="8"/>
      <c r="F20" s="8"/>
      <c r="G20" s="8"/>
      <c r="H20" s="8"/>
      <c r="I20" s="8"/>
      <c r="J20" s="8"/>
      <c r="K20" s="8"/>
      <c r="L20" s="9"/>
      <c r="M20" s="3"/>
      <c r="N20" s="199" t="s">
        <v>6</v>
      </c>
      <c r="O20" s="200" t="s">
        <v>7</v>
      </c>
      <c r="P20" s="9" t="s">
        <v>8</v>
      </c>
      <c r="AW20" s="208" t="s">
        <v>47</v>
      </c>
      <c r="AX20" s="209">
        <v>10</v>
      </c>
      <c r="AY20" s="209">
        <v>19</v>
      </c>
      <c r="AZ20" s="210" t="s">
        <v>46</v>
      </c>
      <c r="BA20" s="210" t="s">
        <v>11</v>
      </c>
      <c r="BB20" s="211" t="s">
        <v>44</v>
      </c>
    </row>
    <row r="21" spans="4:54" ht="17.25" customHeight="1" x14ac:dyDescent="0.25">
      <c r="D21" s="31">
        <v>2</v>
      </c>
      <c r="E21" s="8"/>
      <c r="F21" s="43"/>
      <c r="G21" s="8"/>
      <c r="H21" s="43"/>
      <c r="I21" s="8"/>
      <c r="J21" s="8"/>
      <c r="K21" s="43"/>
      <c r="L21" s="9"/>
      <c r="M21" s="3"/>
      <c r="N21" s="7" t="s">
        <v>9</v>
      </c>
      <c r="O21" s="8" t="s">
        <v>10</v>
      </c>
      <c r="P21" s="9" t="s">
        <v>11</v>
      </c>
      <c r="AW21" s="208" t="s">
        <v>48</v>
      </c>
      <c r="AX21" s="209">
        <v>10</v>
      </c>
      <c r="AY21" s="209">
        <v>20</v>
      </c>
      <c r="AZ21" s="210" t="s">
        <v>49</v>
      </c>
      <c r="BA21" s="210" t="s">
        <v>59</v>
      </c>
      <c r="BB21" s="211" t="s">
        <v>51</v>
      </c>
    </row>
    <row r="22" spans="4:54" ht="17.25" customHeight="1" x14ac:dyDescent="0.25">
      <c r="D22" s="31">
        <v>3</v>
      </c>
      <c r="E22" s="8"/>
      <c r="F22" s="8"/>
      <c r="G22" s="8"/>
      <c r="H22" s="8"/>
      <c r="I22" s="8"/>
      <c r="J22" s="8"/>
      <c r="K22" s="8"/>
      <c r="L22" s="9"/>
      <c r="M22" s="3"/>
      <c r="N22" s="174" t="s">
        <v>12</v>
      </c>
      <c r="O22" s="200" t="s">
        <v>13</v>
      </c>
      <c r="P22" s="201" t="s">
        <v>14</v>
      </c>
      <c r="AW22" s="208" t="s">
        <v>47</v>
      </c>
      <c r="AX22" s="209">
        <v>11</v>
      </c>
      <c r="AY22" s="209">
        <v>21</v>
      </c>
      <c r="AZ22" s="210" t="s">
        <v>46</v>
      </c>
      <c r="BA22" s="210" t="s">
        <v>14</v>
      </c>
      <c r="BB22" s="211" t="s">
        <v>44</v>
      </c>
    </row>
    <row r="23" spans="4:54" ht="17.25" customHeight="1" x14ac:dyDescent="0.25">
      <c r="D23" s="31">
        <v>4</v>
      </c>
      <c r="E23" s="8"/>
      <c r="F23" s="8"/>
      <c r="G23" s="8"/>
      <c r="H23" s="43"/>
      <c r="I23" s="8"/>
      <c r="J23" s="8"/>
      <c r="K23" s="8"/>
      <c r="L23" s="9"/>
      <c r="M23" s="3"/>
      <c r="N23" s="174" t="s">
        <v>15</v>
      </c>
      <c r="O23" s="8" t="s">
        <v>16</v>
      </c>
      <c r="P23" s="201" t="s">
        <v>17</v>
      </c>
      <c r="AW23" s="208" t="s">
        <v>48</v>
      </c>
      <c r="AX23" s="209">
        <v>11</v>
      </c>
      <c r="AY23" s="209">
        <v>22</v>
      </c>
      <c r="AZ23" s="210" t="s">
        <v>46</v>
      </c>
      <c r="BA23" s="210" t="s">
        <v>4</v>
      </c>
      <c r="BB23" s="211" t="s">
        <v>44</v>
      </c>
    </row>
    <row r="24" spans="4:54" ht="17.25" customHeight="1" x14ac:dyDescent="0.25">
      <c r="D24" s="31">
        <v>5</v>
      </c>
      <c r="E24" s="8"/>
      <c r="F24" s="8"/>
      <c r="G24" s="8"/>
      <c r="H24" s="8"/>
      <c r="I24" s="8"/>
      <c r="J24" s="8"/>
      <c r="K24" s="43"/>
      <c r="L24" s="9"/>
      <c r="M24" s="3"/>
      <c r="N24" s="199" t="s">
        <v>18</v>
      </c>
      <c r="O24" s="43" t="s">
        <v>19</v>
      </c>
      <c r="P24" s="9" t="s">
        <v>20</v>
      </c>
      <c r="AW24" s="208" t="s">
        <v>47</v>
      </c>
      <c r="AX24" s="209">
        <v>12</v>
      </c>
      <c r="AY24" s="209">
        <v>23</v>
      </c>
      <c r="AZ24" s="210" t="s">
        <v>46</v>
      </c>
      <c r="BA24" s="210" t="s">
        <v>2</v>
      </c>
      <c r="BB24" s="211" t="s">
        <v>51</v>
      </c>
    </row>
    <row r="25" spans="4:54" ht="17.25" customHeight="1" x14ac:dyDescent="0.25">
      <c r="D25" s="31">
        <v>6</v>
      </c>
      <c r="E25" s="8"/>
      <c r="F25" s="43"/>
      <c r="G25" s="8"/>
      <c r="H25" s="8"/>
      <c r="I25" s="203" t="s">
        <v>17</v>
      </c>
      <c r="J25" s="200" t="s">
        <v>4</v>
      </c>
      <c r="K25" s="8"/>
      <c r="L25" s="9"/>
      <c r="M25" s="3"/>
      <c r="N25" s="7" t="s">
        <v>21</v>
      </c>
      <c r="O25" s="43" t="s">
        <v>22</v>
      </c>
      <c r="P25" s="9" t="s">
        <v>23</v>
      </c>
      <c r="AW25" s="208" t="s">
        <v>48</v>
      </c>
      <c r="AX25" s="209">
        <v>12</v>
      </c>
      <c r="AY25" s="209">
        <v>24</v>
      </c>
      <c r="AZ25" s="210" t="s">
        <v>46</v>
      </c>
      <c r="BA25" s="210" t="s">
        <v>22</v>
      </c>
      <c r="BB25" s="211" t="s">
        <v>51</v>
      </c>
    </row>
    <row r="26" spans="4:54" ht="17.25" customHeight="1" thickBot="1" x14ac:dyDescent="0.3">
      <c r="D26" s="31">
        <v>7</v>
      </c>
      <c r="E26" s="8"/>
      <c r="F26" s="8"/>
      <c r="G26" s="8"/>
      <c r="H26" s="8"/>
      <c r="I26" s="8"/>
      <c r="J26" s="43"/>
      <c r="K26" s="8"/>
      <c r="L26" s="9"/>
      <c r="M26" s="3"/>
      <c r="N26" s="10" t="s">
        <v>24</v>
      </c>
      <c r="O26" s="11" t="s">
        <v>25</v>
      </c>
      <c r="P26" s="36"/>
      <c r="AW26" s="208" t="s">
        <v>47</v>
      </c>
      <c r="AX26" s="209">
        <v>13</v>
      </c>
      <c r="AY26" s="209">
        <v>25</v>
      </c>
      <c r="AZ26" s="210" t="s">
        <v>46</v>
      </c>
      <c r="BA26" s="210" t="s">
        <v>18</v>
      </c>
      <c r="BB26" s="211" t="s">
        <v>44</v>
      </c>
    </row>
    <row r="27" spans="4:54" ht="17.25" customHeight="1" thickBot="1" x14ac:dyDescent="0.3">
      <c r="D27" s="32">
        <v>8</v>
      </c>
      <c r="E27" s="11"/>
      <c r="F27" s="49"/>
      <c r="G27" s="11"/>
      <c r="H27" s="11"/>
      <c r="I27" s="11"/>
      <c r="J27" s="11"/>
      <c r="K27" s="11"/>
      <c r="L27" s="12"/>
      <c r="M27" s="3"/>
      <c r="AW27" s="208" t="s">
        <v>48</v>
      </c>
      <c r="AX27" s="209">
        <v>13</v>
      </c>
      <c r="AY27" s="209">
        <v>26</v>
      </c>
      <c r="AZ27" s="210" t="s">
        <v>49</v>
      </c>
      <c r="BA27" s="210" t="s">
        <v>60</v>
      </c>
      <c r="BB27" s="211" t="s">
        <v>51</v>
      </c>
    </row>
    <row r="28" spans="4:54" ht="17.25" customHeight="1" x14ac:dyDescent="0.25">
      <c r="AW28" s="208" t="s">
        <v>47</v>
      </c>
      <c r="AX28" s="209">
        <v>14</v>
      </c>
      <c r="AY28" s="209">
        <v>27</v>
      </c>
      <c r="AZ28" s="210" t="s">
        <v>46</v>
      </c>
      <c r="BA28" s="210" t="s">
        <v>1</v>
      </c>
      <c r="BB28" s="211" t="s">
        <v>44</v>
      </c>
    </row>
    <row r="29" spans="4:54" ht="17.25" customHeight="1" x14ac:dyDescent="0.25">
      <c r="AW29" s="208" t="s">
        <v>48</v>
      </c>
      <c r="AX29" s="209">
        <v>14</v>
      </c>
      <c r="AY29" s="209">
        <v>28</v>
      </c>
      <c r="AZ29" s="210" t="s">
        <v>46</v>
      </c>
      <c r="BA29" s="210" t="s">
        <v>13</v>
      </c>
      <c r="BB29" s="211" t="s">
        <v>44</v>
      </c>
    </row>
    <row r="30" spans="4:54" ht="17.25" customHeight="1" x14ac:dyDescent="0.25">
      <c r="AW30" s="208" t="s">
        <v>47</v>
      </c>
      <c r="AX30" s="209">
        <v>15</v>
      </c>
      <c r="AY30" s="209">
        <v>29</v>
      </c>
      <c r="AZ30" s="210" t="s">
        <v>46</v>
      </c>
      <c r="BA30" s="210" t="s">
        <v>12</v>
      </c>
      <c r="BB30" s="211" t="s">
        <v>51</v>
      </c>
    </row>
    <row r="31" spans="4:54" ht="17.25" customHeight="1" x14ac:dyDescent="0.25">
      <c r="AW31" s="208" t="s">
        <v>48</v>
      </c>
      <c r="AX31" s="209">
        <v>15</v>
      </c>
      <c r="AY31" s="209">
        <v>30</v>
      </c>
      <c r="AZ31" s="210" t="s">
        <v>46</v>
      </c>
      <c r="BA31" s="210" t="s">
        <v>2</v>
      </c>
      <c r="BB31" s="211" t="s">
        <v>51</v>
      </c>
    </row>
    <row r="32" spans="4:54" ht="17.25" customHeight="1" x14ac:dyDescent="0.25">
      <c r="AW32" s="208" t="s">
        <v>47</v>
      </c>
      <c r="AX32" s="209">
        <v>16</v>
      </c>
      <c r="AY32" s="209">
        <v>31</v>
      </c>
      <c r="AZ32" s="210" t="s">
        <v>46</v>
      </c>
      <c r="BA32" s="210" t="s">
        <v>6</v>
      </c>
      <c r="BB32" s="211" t="s">
        <v>51</v>
      </c>
    </row>
    <row r="33" spans="49:54" ht="17.25" customHeight="1" x14ac:dyDescent="0.25">
      <c r="AW33" s="208" t="s">
        <v>48</v>
      </c>
      <c r="AX33" s="209">
        <v>16</v>
      </c>
      <c r="AY33" s="209">
        <v>32</v>
      </c>
      <c r="AZ33" s="210" t="s">
        <v>46</v>
      </c>
      <c r="BA33" s="210" t="s">
        <v>12</v>
      </c>
      <c r="BB33" s="211" t="s">
        <v>51</v>
      </c>
    </row>
    <row r="34" spans="49:54" ht="17.25" customHeight="1" x14ac:dyDescent="0.25">
      <c r="AW34" s="208" t="s">
        <v>47</v>
      </c>
      <c r="AX34" s="209">
        <v>17</v>
      </c>
      <c r="AY34" s="209">
        <v>33</v>
      </c>
      <c r="AZ34" s="210" t="s">
        <v>46</v>
      </c>
      <c r="BA34" s="210" t="s">
        <v>24</v>
      </c>
      <c r="BB34" s="211" t="s">
        <v>51</v>
      </c>
    </row>
    <row r="35" spans="49:54" ht="17.25" customHeight="1" x14ac:dyDescent="0.25">
      <c r="AW35" s="208" t="s">
        <v>48</v>
      </c>
      <c r="AX35" s="209">
        <v>17</v>
      </c>
      <c r="AY35" s="209">
        <v>34</v>
      </c>
      <c r="AZ35" s="210" t="s">
        <v>49</v>
      </c>
      <c r="BA35" s="210" t="s">
        <v>62</v>
      </c>
      <c r="BB35" s="211" t="s">
        <v>51</v>
      </c>
    </row>
    <row r="36" spans="49:54" ht="17.25" customHeight="1" x14ac:dyDescent="0.25">
      <c r="AW36" s="208" t="s">
        <v>47</v>
      </c>
      <c r="AX36" s="209">
        <v>18</v>
      </c>
      <c r="AY36" s="209">
        <v>35</v>
      </c>
      <c r="AZ36" s="210" t="s">
        <v>46</v>
      </c>
      <c r="BA36" s="210" t="s">
        <v>22</v>
      </c>
      <c r="BB36" s="211" t="s">
        <v>44</v>
      </c>
    </row>
    <row r="37" spans="49:54" ht="17.25" customHeight="1" x14ac:dyDescent="0.25">
      <c r="AW37" s="208" t="s">
        <v>48</v>
      </c>
      <c r="AX37" s="209">
        <v>18</v>
      </c>
      <c r="AY37" s="209">
        <v>36</v>
      </c>
      <c r="AZ37" s="210" t="s">
        <v>46</v>
      </c>
      <c r="BA37" s="210" t="s">
        <v>15</v>
      </c>
      <c r="BB37" s="211" t="s">
        <v>51</v>
      </c>
    </row>
    <row r="38" spans="49:54" ht="17.25" customHeight="1" x14ac:dyDescent="0.25">
      <c r="AW38" s="208" t="s">
        <v>47</v>
      </c>
      <c r="AX38" s="209">
        <v>19</v>
      </c>
      <c r="AY38" s="209">
        <v>37</v>
      </c>
      <c r="AZ38" s="210" t="s">
        <v>49</v>
      </c>
      <c r="BA38" s="210" t="s">
        <v>63</v>
      </c>
      <c r="BB38" s="211" t="s">
        <v>51</v>
      </c>
    </row>
    <row r="39" spans="49:54" ht="17.25" customHeight="1" x14ac:dyDescent="0.25">
      <c r="AW39" s="208" t="s">
        <v>48</v>
      </c>
      <c r="AX39" s="209">
        <v>19</v>
      </c>
      <c r="AY39" s="209">
        <v>38</v>
      </c>
      <c r="AZ39" s="210" t="s">
        <v>46</v>
      </c>
      <c r="BA39" s="210" t="s">
        <v>6</v>
      </c>
      <c r="BB39" s="211" t="s">
        <v>44</v>
      </c>
    </row>
    <row r="40" spans="49:54" ht="17.25" customHeight="1" x14ac:dyDescent="0.25">
      <c r="AW40" s="208" t="s">
        <v>47</v>
      </c>
      <c r="AX40" s="209">
        <v>20</v>
      </c>
      <c r="AY40" s="209">
        <v>39</v>
      </c>
      <c r="AZ40" s="210" t="s">
        <v>49</v>
      </c>
      <c r="BA40" s="210" t="s">
        <v>64</v>
      </c>
      <c r="BB40" s="211" t="s">
        <v>44</v>
      </c>
    </row>
    <row r="41" spans="49:54" ht="17.25" customHeight="1" x14ac:dyDescent="0.25">
      <c r="AW41" s="212" t="s">
        <v>48</v>
      </c>
      <c r="AX41" s="213">
        <v>20</v>
      </c>
      <c r="AY41" s="209">
        <v>40</v>
      </c>
      <c r="AZ41" s="214" t="s">
        <v>46</v>
      </c>
      <c r="BA41" s="214" t="s">
        <v>5</v>
      </c>
      <c r="BB41" s="215" t="s">
        <v>51</v>
      </c>
    </row>
    <row r="42" spans="49:54" ht="17.25" customHeight="1" x14ac:dyDescent="0.25">
      <c r="AW42" s="208" t="s">
        <v>47</v>
      </c>
      <c r="AX42" s="209">
        <v>21</v>
      </c>
      <c r="AY42" s="209">
        <v>41</v>
      </c>
      <c r="AZ42" s="210" t="s">
        <v>49</v>
      </c>
      <c r="BA42" s="210" t="s">
        <v>65</v>
      </c>
      <c r="BB42" s="211" t="s">
        <v>44</v>
      </c>
    </row>
    <row r="43" spans="49:54" ht="17.25" customHeight="1" x14ac:dyDescent="0.25">
      <c r="AW43" s="208" t="s">
        <v>48</v>
      </c>
      <c r="AX43" s="209">
        <v>21</v>
      </c>
      <c r="AY43" s="209">
        <v>42</v>
      </c>
      <c r="AZ43" s="210" t="s">
        <v>49</v>
      </c>
      <c r="BA43" s="210" t="s">
        <v>66</v>
      </c>
      <c r="BB43" s="211" t="s">
        <v>51</v>
      </c>
    </row>
    <row r="44" spans="49:54" ht="17.25" customHeight="1" x14ac:dyDescent="0.25">
      <c r="AW44" s="208" t="s">
        <v>47</v>
      </c>
      <c r="AX44" s="209">
        <v>22</v>
      </c>
      <c r="AY44" s="209">
        <v>43</v>
      </c>
      <c r="AZ44" s="210" t="s">
        <v>49</v>
      </c>
      <c r="BA44" s="210" t="s">
        <v>67</v>
      </c>
      <c r="BB44" s="211" t="s">
        <v>44</v>
      </c>
    </row>
    <row r="45" spans="49:54" ht="17.25" customHeight="1" x14ac:dyDescent="0.25">
      <c r="AW45" s="208" t="s">
        <v>48</v>
      </c>
      <c r="AX45" s="209">
        <v>22</v>
      </c>
      <c r="AY45" s="209">
        <v>44</v>
      </c>
      <c r="AZ45" s="210" t="s">
        <v>49</v>
      </c>
      <c r="BA45" s="210" t="s">
        <v>68</v>
      </c>
      <c r="BB45" s="211" t="s">
        <v>51</v>
      </c>
    </row>
    <row r="46" spans="49:54" ht="17.25" customHeight="1" x14ac:dyDescent="0.25">
      <c r="AW46" s="208" t="s">
        <v>47</v>
      </c>
      <c r="AX46" s="209">
        <v>23</v>
      </c>
      <c r="AY46" s="209">
        <v>45</v>
      </c>
      <c r="AZ46" s="210" t="s">
        <v>49</v>
      </c>
      <c r="BA46" s="210" t="s">
        <v>69</v>
      </c>
      <c r="BB46" s="211" t="s">
        <v>51</v>
      </c>
    </row>
    <row r="47" spans="49:54" ht="17.25" customHeight="1" x14ac:dyDescent="0.25">
      <c r="AW47" s="208" t="s">
        <v>48</v>
      </c>
      <c r="AX47" s="209">
        <v>23</v>
      </c>
      <c r="AY47" s="209">
        <v>46</v>
      </c>
      <c r="AZ47" s="210" t="s">
        <v>46</v>
      </c>
      <c r="BA47" s="210" t="s">
        <v>7</v>
      </c>
      <c r="BB47" s="211" t="s">
        <v>44</v>
      </c>
    </row>
    <row r="48" spans="49:54" ht="17.25" customHeight="1" x14ac:dyDescent="0.25">
      <c r="AW48" s="208" t="s">
        <v>47</v>
      </c>
      <c r="AX48" s="209">
        <v>24</v>
      </c>
      <c r="AY48" s="209">
        <v>47</v>
      </c>
      <c r="AZ48" s="210" t="s">
        <v>49</v>
      </c>
      <c r="BA48" s="210" t="s">
        <v>70</v>
      </c>
      <c r="BB48" s="211" t="s">
        <v>51</v>
      </c>
    </row>
    <row r="49" spans="49:54" ht="17.25" customHeight="1" x14ac:dyDescent="0.25">
      <c r="AW49" s="208" t="s">
        <v>48</v>
      </c>
      <c r="AX49" s="209">
        <v>24</v>
      </c>
      <c r="AY49" s="209">
        <v>48</v>
      </c>
      <c r="AZ49" s="210" t="s">
        <v>49</v>
      </c>
      <c r="BA49" s="210" t="s">
        <v>71</v>
      </c>
      <c r="BB49" s="211" t="s">
        <v>44</v>
      </c>
    </row>
    <row r="50" spans="49:54" ht="17.25" customHeight="1" x14ac:dyDescent="0.25">
      <c r="AW50" s="208" t="s">
        <v>47</v>
      </c>
      <c r="AX50" s="209">
        <v>25</v>
      </c>
      <c r="AY50" s="209">
        <v>49</v>
      </c>
      <c r="AZ50" s="210" t="s">
        <v>49</v>
      </c>
      <c r="BA50" s="210" t="s">
        <v>75</v>
      </c>
      <c r="BB50" s="211" t="s">
        <v>51</v>
      </c>
    </row>
    <row r="51" spans="49:54" ht="17.25" customHeight="1" x14ac:dyDescent="0.25">
      <c r="AW51" s="208" t="s">
        <v>48</v>
      </c>
      <c r="AX51" s="209">
        <v>25</v>
      </c>
      <c r="AY51" s="209">
        <v>50</v>
      </c>
      <c r="AZ51" s="210" t="s">
        <v>49</v>
      </c>
      <c r="BA51" s="210" t="s">
        <v>76</v>
      </c>
      <c r="BB51" s="211" t="s">
        <v>44</v>
      </c>
    </row>
    <row r="52" spans="49:54" ht="17.25" customHeight="1" x14ac:dyDescent="0.25">
      <c r="AW52" s="212" t="s">
        <v>77</v>
      </c>
      <c r="AX52" s="213">
        <v>26</v>
      </c>
      <c r="AY52" s="213"/>
      <c r="AZ52" s="214"/>
      <c r="BA52" s="214"/>
      <c r="BB52" s="215"/>
    </row>
  </sheetData>
  <mergeCells count="6">
    <mergeCell ref="D1:L1"/>
    <mergeCell ref="D15:L15"/>
    <mergeCell ref="T5:Y5"/>
    <mergeCell ref="T17:Y17"/>
    <mergeCell ref="N1:P3"/>
    <mergeCell ref="N15:P17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4B468-6F17-4E6A-B0C0-15A8BDF125FC}">
  <dimension ref="A1:F52"/>
  <sheetViews>
    <sheetView tabSelected="1" view="pageBreakPreview" zoomScale="60" zoomScaleNormal="100" workbookViewId="0">
      <selection sqref="A1:XFD1048576"/>
    </sheetView>
  </sheetViews>
  <sheetFormatPr defaultRowHeight="15" x14ac:dyDescent="0.25"/>
  <cols>
    <col min="1" max="1" width="12.42578125" bestFit="1" customWidth="1"/>
    <col min="2" max="2" width="10.5703125" bestFit="1" customWidth="1"/>
    <col min="3" max="3" width="10.42578125" bestFit="1" customWidth="1"/>
    <col min="4" max="4" width="12.5703125" bestFit="1" customWidth="1"/>
    <col min="5" max="5" width="11.7109375" bestFit="1" customWidth="1"/>
    <col min="6" max="6" width="12.28515625" bestFit="1" customWidth="1"/>
  </cols>
  <sheetData>
    <row r="1" spans="1:6" ht="15.75" thickBot="1" x14ac:dyDescent="0.3">
      <c r="A1" s="204" t="s">
        <v>52</v>
      </c>
      <c r="B1" s="205" t="s">
        <v>41</v>
      </c>
      <c r="C1" s="205" t="s">
        <v>73</v>
      </c>
      <c r="D1" s="206" t="s">
        <v>45</v>
      </c>
      <c r="E1" s="206" t="s">
        <v>42</v>
      </c>
      <c r="F1" s="207" t="s">
        <v>43</v>
      </c>
    </row>
    <row r="2" spans="1:6" x14ac:dyDescent="0.25">
      <c r="A2" s="208" t="s">
        <v>47</v>
      </c>
      <c r="B2" s="209">
        <v>1</v>
      </c>
      <c r="C2" s="209">
        <v>1</v>
      </c>
      <c r="D2" s="210" t="s">
        <v>46</v>
      </c>
      <c r="E2" s="210" t="s">
        <v>4</v>
      </c>
      <c r="F2" s="211" t="s">
        <v>44</v>
      </c>
    </row>
    <row r="3" spans="1:6" x14ac:dyDescent="0.25">
      <c r="A3" s="208" t="s">
        <v>48</v>
      </c>
      <c r="B3" s="209">
        <v>1</v>
      </c>
      <c r="C3" s="209">
        <v>2</v>
      </c>
      <c r="D3" s="210" t="s">
        <v>49</v>
      </c>
      <c r="E3" s="210" t="s">
        <v>50</v>
      </c>
      <c r="F3" s="211" t="s">
        <v>51</v>
      </c>
    </row>
    <row r="4" spans="1:6" x14ac:dyDescent="0.25">
      <c r="A4" s="208" t="s">
        <v>47</v>
      </c>
      <c r="B4" s="209">
        <v>2</v>
      </c>
      <c r="C4" s="209">
        <v>3</v>
      </c>
      <c r="D4" s="210" t="s">
        <v>46</v>
      </c>
      <c r="E4" s="210" t="s">
        <v>0</v>
      </c>
      <c r="F4" s="211" t="s">
        <v>44</v>
      </c>
    </row>
    <row r="5" spans="1:6" x14ac:dyDescent="0.25">
      <c r="A5" s="208" t="s">
        <v>48</v>
      </c>
      <c r="B5" s="209">
        <v>2</v>
      </c>
      <c r="C5" s="209">
        <v>4</v>
      </c>
      <c r="D5" s="210" t="s">
        <v>46</v>
      </c>
      <c r="E5" s="210" t="s">
        <v>14</v>
      </c>
      <c r="F5" s="211" t="s">
        <v>44</v>
      </c>
    </row>
    <row r="6" spans="1:6" x14ac:dyDescent="0.25">
      <c r="A6" s="208" t="s">
        <v>47</v>
      </c>
      <c r="B6" s="209">
        <v>3</v>
      </c>
      <c r="C6" s="209">
        <v>5</v>
      </c>
      <c r="D6" s="210" t="s">
        <v>46</v>
      </c>
      <c r="E6" s="210" t="s">
        <v>17</v>
      </c>
      <c r="F6" s="211" t="s">
        <v>44</v>
      </c>
    </row>
    <row r="7" spans="1:6" x14ac:dyDescent="0.25">
      <c r="A7" s="208" t="s">
        <v>48</v>
      </c>
      <c r="B7" s="209">
        <v>3</v>
      </c>
      <c r="C7" s="209">
        <v>6</v>
      </c>
      <c r="D7" s="210" t="s">
        <v>46</v>
      </c>
      <c r="E7" s="210" t="s">
        <v>19</v>
      </c>
      <c r="F7" s="211" t="s">
        <v>51</v>
      </c>
    </row>
    <row r="8" spans="1:6" x14ac:dyDescent="0.25">
      <c r="A8" s="208" t="s">
        <v>47</v>
      </c>
      <c r="B8" s="209">
        <v>4</v>
      </c>
      <c r="C8" s="209">
        <v>7</v>
      </c>
      <c r="D8" s="210" t="s">
        <v>46</v>
      </c>
      <c r="E8" s="210" t="s">
        <v>19</v>
      </c>
      <c r="F8" s="211" t="s">
        <v>44</v>
      </c>
    </row>
    <row r="9" spans="1:6" x14ac:dyDescent="0.25">
      <c r="A9" s="208" t="s">
        <v>48</v>
      </c>
      <c r="B9" s="209">
        <v>4</v>
      </c>
      <c r="C9" s="209">
        <v>8</v>
      </c>
      <c r="D9" s="210" t="s">
        <v>46</v>
      </c>
      <c r="E9" s="210" t="s">
        <v>18</v>
      </c>
      <c r="F9" s="211" t="s">
        <v>44</v>
      </c>
    </row>
    <row r="10" spans="1:6" x14ac:dyDescent="0.25">
      <c r="A10" s="208" t="s">
        <v>47</v>
      </c>
      <c r="B10" s="209">
        <v>5</v>
      </c>
      <c r="C10" s="209">
        <v>9</v>
      </c>
      <c r="D10" s="210" t="s">
        <v>46</v>
      </c>
      <c r="E10" s="210" t="s">
        <v>13</v>
      </c>
      <c r="F10" s="211" t="s">
        <v>51</v>
      </c>
    </row>
    <row r="11" spans="1:6" x14ac:dyDescent="0.25">
      <c r="A11" s="208" t="s">
        <v>48</v>
      </c>
      <c r="B11" s="209">
        <v>5</v>
      </c>
      <c r="C11" s="209">
        <v>10</v>
      </c>
      <c r="D11" s="210" t="s">
        <v>49</v>
      </c>
      <c r="E11" s="210" t="s">
        <v>53</v>
      </c>
      <c r="F11" s="211" t="s">
        <v>51</v>
      </c>
    </row>
    <row r="12" spans="1:6" x14ac:dyDescent="0.25">
      <c r="A12" s="208" t="s">
        <v>47</v>
      </c>
      <c r="B12" s="209">
        <v>6</v>
      </c>
      <c r="C12" s="209">
        <v>11</v>
      </c>
      <c r="D12" s="210" t="s">
        <v>46</v>
      </c>
      <c r="E12" s="210" t="s">
        <v>3</v>
      </c>
      <c r="F12" s="211" t="s">
        <v>44</v>
      </c>
    </row>
    <row r="13" spans="1:6" x14ac:dyDescent="0.25">
      <c r="A13" s="208" t="s">
        <v>48</v>
      </c>
      <c r="B13" s="209">
        <v>6</v>
      </c>
      <c r="C13" s="209">
        <v>12</v>
      </c>
      <c r="D13" s="210" t="s">
        <v>46</v>
      </c>
      <c r="E13" s="210" t="s">
        <v>0</v>
      </c>
      <c r="F13" s="211" t="s">
        <v>44</v>
      </c>
    </row>
    <row r="14" spans="1:6" x14ac:dyDescent="0.25">
      <c r="A14" s="208" t="s">
        <v>47</v>
      </c>
      <c r="B14" s="209">
        <v>7</v>
      </c>
      <c r="C14" s="209">
        <v>13</v>
      </c>
      <c r="D14" s="210" t="s">
        <v>54</v>
      </c>
      <c r="E14" s="210" t="s">
        <v>55</v>
      </c>
      <c r="F14" s="211" t="s">
        <v>51</v>
      </c>
    </row>
    <row r="15" spans="1:6" x14ac:dyDescent="0.25">
      <c r="A15" s="208" t="s">
        <v>48</v>
      </c>
      <c r="B15" s="209">
        <v>7</v>
      </c>
      <c r="C15" s="209">
        <v>14</v>
      </c>
      <c r="D15" s="210" t="s">
        <v>46</v>
      </c>
      <c r="E15" s="210" t="s">
        <v>3</v>
      </c>
      <c r="F15" s="211" t="s">
        <v>44</v>
      </c>
    </row>
    <row r="16" spans="1:6" x14ac:dyDescent="0.25">
      <c r="A16" s="208" t="s">
        <v>47</v>
      </c>
      <c r="B16" s="209">
        <v>8</v>
      </c>
      <c r="C16" s="209">
        <v>15</v>
      </c>
      <c r="D16" s="210" t="s">
        <v>46</v>
      </c>
      <c r="E16" s="210" t="s">
        <v>15</v>
      </c>
      <c r="F16" s="211" t="s">
        <v>51</v>
      </c>
    </row>
    <row r="17" spans="1:6" x14ac:dyDescent="0.25">
      <c r="A17" s="208" t="s">
        <v>48</v>
      </c>
      <c r="B17" s="209">
        <v>8</v>
      </c>
      <c r="C17" s="209">
        <v>16</v>
      </c>
      <c r="D17" s="210" t="s">
        <v>46</v>
      </c>
      <c r="E17" s="210" t="s">
        <v>17</v>
      </c>
      <c r="F17" s="211" t="s">
        <v>44</v>
      </c>
    </row>
    <row r="18" spans="1:6" x14ac:dyDescent="0.25">
      <c r="A18" s="208" t="s">
        <v>47</v>
      </c>
      <c r="B18" s="209">
        <v>9</v>
      </c>
      <c r="C18" s="209">
        <v>17</v>
      </c>
      <c r="D18" s="210" t="s">
        <v>46</v>
      </c>
      <c r="E18" s="210" t="s">
        <v>7</v>
      </c>
      <c r="F18" s="211" t="s">
        <v>44</v>
      </c>
    </row>
    <row r="19" spans="1:6" x14ac:dyDescent="0.25">
      <c r="A19" s="208" t="s">
        <v>48</v>
      </c>
      <c r="B19" s="209">
        <v>9</v>
      </c>
      <c r="C19" s="209">
        <v>18</v>
      </c>
      <c r="D19" s="210" t="s">
        <v>49</v>
      </c>
      <c r="E19" s="210" t="s">
        <v>58</v>
      </c>
      <c r="F19" s="211" t="s">
        <v>51</v>
      </c>
    </row>
    <row r="20" spans="1:6" x14ac:dyDescent="0.25">
      <c r="A20" s="208" t="s">
        <v>47</v>
      </c>
      <c r="B20" s="209">
        <v>10</v>
      </c>
      <c r="C20" s="209">
        <v>19</v>
      </c>
      <c r="D20" s="210" t="s">
        <v>46</v>
      </c>
      <c r="E20" s="210" t="s">
        <v>11</v>
      </c>
      <c r="F20" s="211" t="s">
        <v>44</v>
      </c>
    </row>
    <row r="21" spans="1:6" x14ac:dyDescent="0.25">
      <c r="A21" s="208" t="s">
        <v>48</v>
      </c>
      <c r="B21" s="209">
        <v>10</v>
      </c>
      <c r="C21" s="209">
        <v>20</v>
      </c>
      <c r="D21" s="210" t="s">
        <v>49</v>
      </c>
      <c r="E21" s="210" t="s">
        <v>59</v>
      </c>
      <c r="F21" s="211" t="s">
        <v>51</v>
      </c>
    </row>
    <row r="22" spans="1:6" x14ac:dyDescent="0.25">
      <c r="A22" s="208" t="s">
        <v>47</v>
      </c>
      <c r="B22" s="209">
        <v>11</v>
      </c>
      <c r="C22" s="209">
        <v>21</v>
      </c>
      <c r="D22" s="210" t="s">
        <v>46</v>
      </c>
      <c r="E22" s="210" t="s">
        <v>14</v>
      </c>
      <c r="F22" s="211" t="s">
        <v>44</v>
      </c>
    </row>
    <row r="23" spans="1:6" x14ac:dyDescent="0.25">
      <c r="A23" s="208" t="s">
        <v>48</v>
      </c>
      <c r="B23" s="209">
        <v>11</v>
      </c>
      <c r="C23" s="209">
        <v>22</v>
      </c>
      <c r="D23" s="210" t="s">
        <v>46</v>
      </c>
      <c r="E23" s="210" t="s">
        <v>4</v>
      </c>
      <c r="F23" s="211" t="s">
        <v>44</v>
      </c>
    </row>
    <row r="24" spans="1:6" x14ac:dyDescent="0.25">
      <c r="A24" s="208" t="s">
        <v>47</v>
      </c>
      <c r="B24" s="209">
        <v>12</v>
      </c>
      <c r="C24" s="209">
        <v>23</v>
      </c>
      <c r="D24" s="210" t="s">
        <v>46</v>
      </c>
      <c r="E24" s="210" t="s">
        <v>2</v>
      </c>
      <c r="F24" s="211" t="s">
        <v>51</v>
      </c>
    </row>
    <row r="25" spans="1:6" x14ac:dyDescent="0.25">
      <c r="A25" s="208" t="s">
        <v>48</v>
      </c>
      <c r="B25" s="209">
        <v>12</v>
      </c>
      <c r="C25" s="209">
        <v>24</v>
      </c>
      <c r="D25" s="210" t="s">
        <v>46</v>
      </c>
      <c r="E25" s="210" t="s">
        <v>22</v>
      </c>
      <c r="F25" s="211" t="s">
        <v>51</v>
      </c>
    </row>
    <row r="26" spans="1:6" x14ac:dyDescent="0.25">
      <c r="A26" s="208" t="s">
        <v>47</v>
      </c>
      <c r="B26" s="209">
        <v>13</v>
      </c>
      <c r="C26" s="209">
        <v>25</v>
      </c>
      <c r="D26" s="210" t="s">
        <v>46</v>
      </c>
      <c r="E26" s="210" t="s">
        <v>18</v>
      </c>
      <c r="F26" s="211" t="s">
        <v>44</v>
      </c>
    </row>
    <row r="27" spans="1:6" x14ac:dyDescent="0.25">
      <c r="A27" s="208" t="s">
        <v>48</v>
      </c>
      <c r="B27" s="209">
        <v>13</v>
      </c>
      <c r="C27" s="209">
        <v>26</v>
      </c>
      <c r="D27" s="210" t="s">
        <v>49</v>
      </c>
      <c r="E27" s="210" t="s">
        <v>60</v>
      </c>
      <c r="F27" s="211" t="s">
        <v>51</v>
      </c>
    </row>
    <row r="28" spans="1:6" x14ac:dyDescent="0.25">
      <c r="A28" s="208" t="s">
        <v>47</v>
      </c>
      <c r="B28" s="209">
        <v>14</v>
      </c>
      <c r="C28" s="209">
        <v>27</v>
      </c>
      <c r="D28" s="210" t="s">
        <v>46</v>
      </c>
      <c r="E28" s="210" t="s">
        <v>1</v>
      </c>
      <c r="F28" s="211" t="s">
        <v>44</v>
      </c>
    </row>
    <row r="29" spans="1:6" x14ac:dyDescent="0.25">
      <c r="A29" s="208" t="s">
        <v>48</v>
      </c>
      <c r="B29" s="209">
        <v>14</v>
      </c>
      <c r="C29" s="209">
        <v>28</v>
      </c>
      <c r="D29" s="210" t="s">
        <v>46</v>
      </c>
      <c r="E29" s="210" t="s">
        <v>13</v>
      </c>
      <c r="F29" s="211" t="s">
        <v>44</v>
      </c>
    </row>
    <row r="30" spans="1:6" x14ac:dyDescent="0.25">
      <c r="A30" s="208" t="s">
        <v>47</v>
      </c>
      <c r="B30" s="209">
        <v>15</v>
      </c>
      <c r="C30" s="209">
        <v>29</v>
      </c>
      <c r="D30" s="210" t="s">
        <v>46</v>
      </c>
      <c r="E30" s="210" t="s">
        <v>12</v>
      </c>
      <c r="F30" s="211" t="s">
        <v>51</v>
      </c>
    </row>
    <row r="31" spans="1:6" x14ac:dyDescent="0.25">
      <c r="A31" s="208" t="s">
        <v>48</v>
      </c>
      <c r="B31" s="209">
        <v>15</v>
      </c>
      <c r="C31" s="209">
        <v>30</v>
      </c>
      <c r="D31" s="210" t="s">
        <v>46</v>
      </c>
      <c r="E31" s="210" t="s">
        <v>2</v>
      </c>
      <c r="F31" s="211" t="s">
        <v>51</v>
      </c>
    </row>
    <row r="32" spans="1:6" x14ac:dyDescent="0.25">
      <c r="A32" s="208" t="s">
        <v>47</v>
      </c>
      <c r="B32" s="209">
        <v>16</v>
      </c>
      <c r="C32" s="209">
        <v>31</v>
      </c>
      <c r="D32" s="210" t="s">
        <v>46</v>
      </c>
      <c r="E32" s="210" t="s">
        <v>6</v>
      </c>
      <c r="F32" s="211" t="s">
        <v>51</v>
      </c>
    </row>
    <row r="33" spans="1:6" x14ac:dyDescent="0.25">
      <c r="A33" s="208" t="s">
        <v>48</v>
      </c>
      <c r="B33" s="209">
        <v>16</v>
      </c>
      <c r="C33" s="209">
        <v>32</v>
      </c>
      <c r="D33" s="210" t="s">
        <v>46</v>
      </c>
      <c r="E33" s="210" t="s">
        <v>12</v>
      </c>
      <c r="F33" s="211" t="s">
        <v>51</v>
      </c>
    </row>
    <row r="34" spans="1:6" x14ac:dyDescent="0.25">
      <c r="A34" s="208" t="s">
        <v>47</v>
      </c>
      <c r="B34" s="209">
        <v>17</v>
      </c>
      <c r="C34" s="209">
        <v>33</v>
      </c>
      <c r="D34" s="210" t="s">
        <v>46</v>
      </c>
      <c r="E34" s="210" t="s">
        <v>24</v>
      </c>
      <c r="F34" s="211" t="s">
        <v>51</v>
      </c>
    </row>
    <row r="35" spans="1:6" x14ac:dyDescent="0.25">
      <c r="A35" s="208" t="s">
        <v>48</v>
      </c>
      <c r="B35" s="209">
        <v>17</v>
      </c>
      <c r="C35" s="209">
        <v>34</v>
      </c>
      <c r="D35" s="210" t="s">
        <v>49</v>
      </c>
      <c r="E35" s="210" t="s">
        <v>62</v>
      </c>
      <c r="F35" s="211" t="s">
        <v>51</v>
      </c>
    </row>
    <row r="36" spans="1:6" x14ac:dyDescent="0.25">
      <c r="A36" s="208" t="s">
        <v>47</v>
      </c>
      <c r="B36" s="209">
        <v>18</v>
      </c>
      <c r="C36" s="209">
        <v>35</v>
      </c>
      <c r="D36" s="210" t="s">
        <v>46</v>
      </c>
      <c r="E36" s="210" t="s">
        <v>22</v>
      </c>
      <c r="F36" s="211" t="s">
        <v>44</v>
      </c>
    </row>
    <row r="37" spans="1:6" x14ac:dyDescent="0.25">
      <c r="A37" s="208" t="s">
        <v>48</v>
      </c>
      <c r="B37" s="209">
        <v>18</v>
      </c>
      <c r="C37" s="209">
        <v>36</v>
      </c>
      <c r="D37" s="210" t="s">
        <v>46</v>
      </c>
      <c r="E37" s="210" t="s">
        <v>15</v>
      </c>
      <c r="F37" s="211" t="s">
        <v>51</v>
      </c>
    </row>
    <row r="38" spans="1:6" x14ac:dyDescent="0.25">
      <c r="A38" s="208" t="s">
        <v>47</v>
      </c>
      <c r="B38" s="209">
        <v>19</v>
      </c>
      <c r="C38" s="209">
        <v>37</v>
      </c>
      <c r="D38" s="210" t="s">
        <v>49</v>
      </c>
      <c r="E38" s="210" t="s">
        <v>63</v>
      </c>
      <c r="F38" s="211" t="s">
        <v>51</v>
      </c>
    </row>
    <row r="39" spans="1:6" x14ac:dyDescent="0.25">
      <c r="A39" s="208" t="s">
        <v>48</v>
      </c>
      <c r="B39" s="209">
        <v>19</v>
      </c>
      <c r="C39" s="209">
        <v>38</v>
      </c>
      <c r="D39" s="210" t="s">
        <v>46</v>
      </c>
      <c r="E39" s="210" t="s">
        <v>6</v>
      </c>
      <c r="F39" s="211" t="s">
        <v>44</v>
      </c>
    </row>
    <row r="40" spans="1:6" x14ac:dyDescent="0.25">
      <c r="A40" s="208" t="s">
        <v>47</v>
      </c>
      <c r="B40" s="209">
        <v>20</v>
      </c>
      <c r="C40" s="209">
        <v>39</v>
      </c>
      <c r="D40" s="210" t="s">
        <v>49</v>
      </c>
      <c r="E40" s="210" t="s">
        <v>64</v>
      </c>
      <c r="F40" s="211" t="s">
        <v>44</v>
      </c>
    </row>
    <row r="41" spans="1:6" x14ac:dyDescent="0.25">
      <c r="A41" s="212" t="s">
        <v>48</v>
      </c>
      <c r="B41" s="213">
        <v>20</v>
      </c>
      <c r="C41" s="209">
        <v>40</v>
      </c>
      <c r="D41" s="214" t="s">
        <v>46</v>
      </c>
      <c r="E41" s="214" t="s">
        <v>5</v>
      </c>
      <c r="F41" s="215" t="s">
        <v>51</v>
      </c>
    </row>
    <row r="42" spans="1:6" x14ac:dyDescent="0.25">
      <c r="A42" s="208" t="s">
        <v>47</v>
      </c>
      <c r="B42" s="209">
        <v>21</v>
      </c>
      <c r="C42" s="209">
        <v>41</v>
      </c>
      <c r="D42" s="210" t="s">
        <v>49</v>
      </c>
      <c r="E42" s="210" t="s">
        <v>65</v>
      </c>
      <c r="F42" s="211" t="s">
        <v>44</v>
      </c>
    </row>
    <row r="43" spans="1:6" x14ac:dyDescent="0.25">
      <c r="A43" s="208" t="s">
        <v>48</v>
      </c>
      <c r="B43" s="209">
        <v>21</v>
      </c>
      <c r="C43" s="209">
        <v>42</v>
      </c>
      <c r="D43" s="210" t="s">
        <v>49</v>
      </c>
      <c r="E43" s="210" t="s">
        <v>66</v>
      </c>
      <c r="F43" s="211" t="s">
        <v>51</v>
      </c>
    </row>
    <row r="44" spans="1:6" x14ac:dyDescent="0.25">
      <c r="A44" s="208" t="s">
        <v>47</v>
      </c>
      <c r="B44" s="209">
        <v>22</v>
      </c>
      <c r="C44" s="209">
        <v>43</v>
      </c>
      <c r="D44" s="210" t="s">
        <v>49</v>
      </c>
      <c r="E44" s="210" t="s">
        <v>67</v>
      </c>
      <c r="F44" s="211" t="s">
        <v>44</v>
      </c>
    </row>
    <row r="45" spans="1:6" x14ac:dyDescent="0.25">
      <c r="A45" s="208" t="s">
        <v>48</v>
      </c>
      <c r="B45" s="209">
        <v>22</v>
      </c>
      <c r="C45" s="209">
        <v>44</v>
      </c>
      <c r="D45" s="210" t="s">
        <v>49</v>
      </c>
      <c r="E45" s="210" t="s">
        <v>68</v>
      </c>
      <c r="F45" s="211" t="s">
        <v>51</v>
      </c>
    </row>
    <row r="46" spans="1:6" x14ac:dyDescent="0.25">
      <c r="A46" s="208" t="s">
        <v>47</v>
      </c>
      <c r="B46" s="209">
        <v>23</v>
      </c>
      <c r="C46" s="209">
        <v>45</v>
      </c>
      <c r="D46" s="210" t="s">
        <v>49</v>
      </c>
      <c r="E46" s="210" t="s">
        <v>69</v>
      </c>
      <c r="F46" s="211" t="s">
        <v>51</v>
      </c>
    </row>
    <row r="47" spans="1:6" x14ac:dyDescent="0.25">
      <c r="A47" s="208" t="s">
        <v>48</v>
      </c>
      <c r="B47" s="209">
        <v>23</v>
      </c>
      <c r="C47" s="209">
        <v>46</v>
      </c>
      <c r="D47" s="210" t="s">
        <v>46</v>
      </c>
      <c r="E47" s="210" t="s">
        <v>7</v>
      </c>
      <c r="F47" s="211" t="s">
        <v>44</v>
      </c>
    </row>
    <row r="48" spans="1:6" x14ac:dyDescent="0.25">
      <c r="A48" s="208" t="s">
        <v>47</v>
      </c>
      <c r="B48" s="209">
        <v>24</v>
      </c>
      <c r="C48" s="209">
        <v>47</v>
      </c>
      <c r="D48" s="210" t="s">
        <v>49</v>
      </c>
      <c r="E48" s="210" t="s">
        <v>70</v>
      </c>
      <c r="F48" s="211" t="s">
        <v>51</v>
      </c>
    </row>
    <row r="49" spans="1:6" x14ac:dyDescent="0.25">
      <c r="A49" s="208" t="s">
        <v>48</v>
      </c>
      <c r="B49" s="209">
        <v>24</v>
      </c>
      <c r="C49" s="209">
        <v>48</v>
      </c>
      <c r="D49" s="210" t="s">
        <v>49</v>
      </c>
      <c r="E49" s="210" t="s">
        <v>71</v>
      </c>
      <c r="F49" s="211" t="s">
        <v>44</v>
      </c>
    </row>
    <row r="50" spans="1:6" x14ac:dyDescent="0.25">
      <c r="A50" s="208" t="s">
        <v>47</v>
      </c>
      <c r="B50" s="209">
        <v>25</v>
      </c>
      <c r="C50" s="209">
        <v>49</v>
      </c>
      <c r="D50" s="210" t="s">
        <v>49</v>
      </c>
      <c r="E50" s="210" t="s">
        <v>75</v>
      </c>
      <c r="F50" s="211" t="s">
        <v>51</v>
      </c>
    </row>
    <row r="51" spans="1:6" x14ac:dyDescent="0.25">
      <c r="A51" s="208" t="s">
        <v>48</v>
      </c>
      <c r="B51" s="209">
        <v>25</v>
      </c>
      <c r="C51" s="209">
        <v>50</v>
      </c>
      <c r="D51" s="210" t="s">
        <v>49</v>
      </c>
      <c r="E51" s="210" t="s">
        <v>76</v>
      </c>
      <c r="F51" s="211" t="s">
        <v>44</v>
      </c>
    </row>
    <row r="52" spans="1:6" x14ac:dyDescent="0.25">
      <c r="A52" s="212" t="s">
        <v>77</v>
      </c>
      <c r="B52" s="213">
        <v>26</v>
      </c>
      <c r="C52" s="213"/>
      <c r="D52" s="214"/>
      <c r="E52" s="214"/>
      <c r="F52" s="215"/>
    </row>
  </sheetData>
  <pageMargins left="0.7" right="0.7" top="0.75" bottom="0.75" header="0.3" footer="0.3"/>
  <pageSetup scale="86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BE39-867A-4CA5-A71B-8232075FF22C}">
  <dimension ref="C3:S28"/>
  <sheetViews>
    <sheetView zoomScale="85" zoomScaleNormal="85" workbookViewId="0">
      <selection activeCell="Q4" sqref="Q4"/>
    </sheetView>
  </sheetViews>
  <sheetFormatPr defaultRowHeight="15" x14ac:dyDescent="0.25"/>
  <sheetData>
    <row r="3" spans="3:19" ht="15.75" thickBot="1" x14ac:dyDescent="0.3"/>
    <row r="4" spans="3:19" ht="21.75" thickBot="1" x14ac:dyDescent="0.3">
      <c r="C4" s="123" t="s">
        <v>26</v>
      </c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5"/>
      <c r="P4" s="37"/>
      <c r="Q4" s="37"/>
      <c r="R4" s="37"/>
      <c r="S4" s="37"/>
    </row>
    <row r="5" spans="3:19" ht="21" x14ac:dyDescent="0.25">
      <c r="C5" s="27"/>
      <c r="D5" s="29" t="s">
        <v>0</v>
      </c>
      <c r="E5" s="29" t="s">
        <v>1</v>
      </c>
      <c r="F5" s="29" t="s">
        <v>2</v>
      </c>
      <c r="G5" s="29" t="s">
        <v>3</v>
      </c>
      <c r="H5" s="29" t="s">
        <v>4</v>
      </c>
      <c r="I5" s="29" t="s">
        <v>5</v>
      </c>
      <c r="J5" s="29" t="s">
        <v>6</v>
      </c>
      <c r="K5" s="30" t="s">
        <v>7</v>
      </c>
      <c r="L5" s="3"/>
      <c r="M5" s="40"/>
      <c r="N5" s="20" t="s">
        <v>29</v>
      </c>
      <c r="O5" s="41"/>
    </row>
    <row r="6" spans="3:19" ht="27" thickBot="1" x14ac:dyDescent="0.3">
      <c r="C6" s="31">
        <v>1</v>
      </c>
      <c r="D6" s="8"/>
      <c r="E6" s="8"/>
      <c r="F6" s="8"/>
      <c r="G6" s="8"/>
      <c r="H6" s="8" t="s">
        <v>6</v>
      </c>
      <c r="I6" s="8"/>
      <c r="J6" s="8"/>
      <c r="K6" s="9"/>
      <c r="L6" s="3"/>
      <c r="M6" s="126" t="s">
        <v>32</v>
      </c>
      <c r="N6" s="127"/>
      <c r="O6" s="128"/>
    </row>
    <row r="7" spans="3:19" ht="21" x14ac:dyDescent="0.25">
      <c r="C7" s="31">
        <v>2</v>
      </c>
      <c r="D7" s="8"/>
      <c r="E7" s="8"/>
      <c r="F7" s="8" t="s">
        <v>2</v>
      </c>
      <c r="G7" s="8"/>
      <c r="H7" s="42" t="s">
        <v>14</v>
      </c>
      <c r="I7" s="8"/>
      <c r="J7" s="8"/>
      <c r="K7" s="45"/>
      <c r="L7" s="3"/>
      <c r="M7" s="1"/>
      <c r="N7" s="5" t="s">
        <v>30</v>
      </c>
      <c r="O7" s="2"/>
    </row>
    <row r="8" spans="3:19" ht="27" thickBot="1" x14ac:dyDescent="0.3">
      <c r="C8" s="31">
        <v>3</v>
      </c>
      <c r="D8" s="43"/>
      <c r="E8" s="43"/>
      <c r="F8" s="42" t="s">
        <v>17</v>
      </c>
      <c r="G8" s="18"/>
      <c r="H8" s="18" t="s">
        <v>22</v>
      </c>
      <c r="I8" s="18"/>
      <c r="J8" s="18"/>
      <c r="K8" s="9"/>
      <c r="L8" s="3"/>
      <c r="M8" s="126" t="s">
        <v>33</v>
      </c>
      <c r="N8" s="127"/>
      <c r="O8" s="128"/>
    </row>
    <row r="9" spans="3:19" ht="21" x14ac:dyDescent="0.25">
      <c r="C9" s="31">
        <v>4</v>
      </c>
      <c r="D9" s="18"/>
      <c r="E9" s="18"/>
      <c r="F9" s="42" t="s">
        <v>14</v>
      </c>
      <c r="G9" s="18" t="s">
        <v>22</v>
      </c>
      <c r="H9" s="42" t="s">
        <v>13</v>
      </c>
      <c r="I9" s="18"/>
      <c r="J9" s="18"/>
      <c r="K9" s="9"/>
      <c r="L9" s="3"/>
      <c r="M9" s="1"/>
      <c r="N9" s="5" t="s">
        <v>31</v>
      </c>
      <c r="O9" s="2"/>
    </row>
    <row r="10" spans="3:19" ht="27" thickBot="1" x14ac:dyDescent="0.3">
      <c r="C10" s="31">
        <v>5</v>
      </c>
      <c r="D10" s="18"/>
      <c r="E10" s="19"/>
      <c r="F10" s="42" t="s">
        <v>22</v>
      </c>
      <c r="G10" s="18"/>
      <c r="H10" s="43"/>
      <c r="I10" s="18"/>
      <c r="J10" s="43"/>
      <c r="K10" s="9"/>
      <c r="L10" s="3"/>
      <c r="M10" s="126" t="s">
        <v>34</v>
      </c>
      <c r="N10" s="127"/>
      <c r="O10" s="128"/>
    </row>
    <row r="11" spans="3:19" ht="21" x14ac:dyDescent="0.25">
      <c r="C11" s="31">
        <v>6</v>
      </c>
      <c r="D11" s="18"/>
      <c r="E11" s="18"/>
      <c r="F11" s="42" t="s">
        <v>13</v>
      </c>
      <c r="G11" s="18"/>
      <c r="H11" s="18"/>
      <c r="I11" s="18"/>
      <c r="J11" s="18"/>
      <c r="K11" s="9"/>
      <c r="L11" s="3"/>
      <c r="M11" s="129" t="s">
        <v>35</v>
      </c>
      <c r="N11" s="130"/>
      <c r="O11" s="131"/>
    </row>
    <row r="12" spans="3:19" ht="27" thickBot="1" x14ac:dyDescent="0.3">
      <c r="C12" s="31">
        <v>7</v>
      </c>
      <c r="D12" s="43"/>
      <c r="E12" s="18"/>
      <c r="F12" s="18"/>
      <c r="G12" s="43"/>
      <c r="H12" s="18"/>
      <c r="I12" s="43"/>
      <c r="J12" s="18"/>
      <c r="K12" s="45"/>
      <c r="L12" s="3"/>
      <c r="M12" s="126">
        <v>15</v>
      </c>
      <c r="N12" s="127"/>
      <c r="O12" s="128"/>
    </row>
    <row r="13" spans="3:19" ht="21.75" thickBot="1" x14ac:dyDescent="0.3">
      <c r="C13" s="32">
        <v>8</v>
      </c>
      <c r="D13" s="11"/>
      <c r="E13" s="11"/>
      <c r="F13" s="11"/>
      <c r="G13" s="11"/>
      <c r="H13" s="11"/>
      <c r="I13" s="11"/>
      <c r="J13" s="11"/>
      <c r="K13" s="12"/>
      <c r="L13" s="34"/>
      <c r="M13" s="34"/>
      <c r="N13" s="34"/>
      <c r="O13" s="44"/>
    </row>
    <row r="14" spans="3:19" ht="21.75" thickBot="1" x14ac:dyDescent="0.3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3:19" ht="21.75" thickBot="1" x14ac:dyDescent="0.3">
      <c r="C15" s="123" t="s">
        <v>28</v>
      </c>
      <c r="D15" s="124"/>
      <c r="E15" s="124"/>
      <c r="F15" s="124"/>
      <c r="G15" s="124"/>
      <c r="H15" s="124"/>
      <c r="I15" s="124"/>
      <c r="J15" s="124"/>
      <c r="K15" s="124"/>
      <c r="L15" s="124"/>
      <c r="M15" s="124"/>
      <c r="N15" s="124"/>
      <c r="O15" s="125"/>
      <c r="P15" s="37"/>
      <c r="Q15" s="37"/>
      <c r="R15" s="37"/>
      <c r="S15" s="37"/>
    </row>
    <row r="16" spans="3:19" ht="21.75" thickBot="1" x14ac:dyDescent="0.3">
      <c r="C16" s="25">
        <v>1</v>
      </c>
      <c r="D16" s="34" t="s">
        <v>27</v>
      </c>
      <c r="E16" s="34" t="s">
        <v>27</v>
      </c>
      <c r="F16" s="34" t="s">
        <v>6</v>
      </c>
      <c r="G16" s="35"/>
      <c r="H16" s="35"/>
      <c r="I16" s="35"/>
      <c r="J16" s="35"/>
      <c r="K16" s="36"/>
      <c r="L16" s="3"/>
      <c r="M16" s="48" t="s">
        <v>0</v>
      </c>
      <c r="N16" s="20" t="s">
        <v>1</v>
      </c>
      <c r="O16" s="26" t="s">
        <v>2</v>
      </c>
    </row>
    <row r="17" spans="3:15" ht="21.75" thickBot="1" x14ac:dyDescent="0.3">
      <c r="C17" s="21">
        <v>2</v>
      </c>
      <c r="D17" s="22" t="s">
        <v>27</v>
      </c>
      <c r="E17" s="22" t="s">
        <v>27</v>
      </c>
      <c r="F17" s="22" t="s">
        <v>0</v>
      </c>
      <c r="G17" s="22" t="s">
        <v>19</v>
      </c>
      <c r="H17" s="23"/>
      <c r="I17" s="23"/>
      <c r="J17" s="23"/>
      <c r="K17" s="24"/>
      <c r="L17" s="3"/>
      <c r="M17" s="8" t="s">
        <v>3</v>
      </c>
      <c r="N17" s="42" t="s">
        <v>4</v>
      </c>
      <c r="O17" s="9" t="s">
        <v>5</v>
      </c>
    </row>
    <row r="18" spans="3:15" ht="21.75" thickBot="1" x14ac:dyDescent="0.3">
      <c r="C18" s="21">
        <v>3</v>
      </c>
      <c r="D18" s="22" t="s">
        <v>11</v>
      </c>
      <c r="E18" s="22" t="s">
        <v>0</v>
      </c>
      <c r="F18" s="22" t="s">
        <v>17</v>
      </c>
      <c r="G18" s="22" t="s">
        <v>6</v>
      </c>
      <c r="H18" s="22" t="s">
        <v>4</v>
      </c>
      <c r="I18" s="23"/>
      <c r="J18" s="23"/>
      <c r="K18" s="24"/>
      <c r="L18" s="3"/>
      <c r="M18" s="42" t="s">
        <v>6</v>
      </c>
      <c r="N18" s="43" t="s">
        <v>7</v>
      </c>
      <c r="O18" s="45" t="s">
        <v>8</v>
      </c>
    </row>
    <row r="19" spans="3:15" ht="21" x14ac:dyDescent="0.25">
      <c r="C19" s="28"/>
      <c r="D19" s="29" t="s">
        <v>0</v>
      </c>
      <c r="E19" s="29" t="s">
        <v>1</v>
      </c>
      <c r="F19" s="29" t="s">
        <v>2</v>
      </c>
      <c r="G19" s="29" t="s">
        <v>3</v>
      </c>
      <c r="H19" s="29" t="s">
        <v>4</v>
      </c>
      <c r="I19" s="29" t="s">
        <v>5</v>
      </c>
      <c r="J19" s="29" t="s">
        <v>6</v>
      </c>
      <c r="K19" s="30" t="s">
        <v>7</v>
      </c>
      <c r="L19" s="3"/>
      <c r="M19" s="8" t="s">
        <v>9</v>
      </c>
      <c r="N19" s="8" t="s">
        <v>10</v>
      </c>
      <c r="O19" s="47" t="s">
        <v>11</v>
      </c>
    </row>
    <row r="20" spans="3:15" ht="21" x14ac:dyDescent="0.25">
      <c r="C20" s="31">
        <v>1</v>
      </c>
      <c r="D20" s="8"/>
      <c r="E20" s="8"/>
      <c r="F20" s="8"/>
      <c r="G20" s="8"/>
      <c r="H20" s="8"/>
      <c r="I20" s="8"/>
      <c r="J20" s="8"/>
      <c r="K20" s="9"/>
      <c r="L20" s="3"/>
      <c r="M20" s="18" t="s">
        <v>12</v>
      </c>
      <c r="N20" s="18" t="s">
        <v>13</v>
      </c>
      <c r="O20" s="9" t="s">
        <v>14</v>
      </c>
    </row>
    <row r="21" spans="3:15" ht="21" x14ac:dyDescent="0.25">
      <c r="C21" s="31">
        <v>2</v>
      </c>
      <c r="D21" s="8"/>
      <c r="E21" s="8"/>
      <c r="F21" s="42" t="s">
        <v>1</v>
      </c>
      <c r="G21" s="8"/>
      <c r="H21" s="8"/>
      <c r="I21" s="8"/>
      <c r="J21" s="8"/>
      <c r="K21" s="9"/>
      <c r="L21" s="3"/>
      <c r="M21" s="8" t="s">
        <v>15</v>
      </c>
      <c r="N21" s="8" t="s">
        <v>16</v>
      </c>
      <c r="O21" s="47" t="s">
        <v>17</v>
      </c>
    </row>
    <row r="22" spans="3:15" ht="21" x14ac:dyDescent="0.25">
      <c r="C22" s="31">
        <v>3</v>
      </c>
      <c r="D22" s="43"/>
      <c r="E22" s="43"/>
      <c r="F22" s="42" t="s">
        <v>14</v>
      </c>
      <c r="G22" s="43"/>
      <c r="H22" s="8"/>
      <c r="I22" s="8"/>
      <c r="J22" s="8"/>
      <c r="K22" s="9"/>
      <c r="L22" s="3"/>
      <c r="M22" s="43" t="s">
        <v>18</v>
      </c>
      <c r="N22" s="42" t="s">
        <v>19</v>
      </c>
      <c r="O22" s="9" t="s">
        <v>20</v>
      </c>
    </row>
    <row r="23" spans="3:15" ht="21" x14ac:dyDescent="0.25">
      <c r="C23" s="31">
        <v>4</v>
      </c>
      <c r="D23" s="8"/>
      <c r="E23" s="43"/>
      <c r="F23" s="42" t="s">
        <v>0</v>
      </c>
      <c r="G23" s="43"/>
      <c r="H23" s="42" t="s">
        <v>11</v>
      </c>
      <c r="I23" s="8"/>
      <c r="J23" s="8"/>
      <c r="K23" s="9"/>
      <c r="L23" s="3"/>
      <c r="M23" s="8" t="s">
        <v>21</v>
      </c>
      <c r="N23" s="8" t="s">
        <v>22</v>
      </c>
      <c r="O23" s="9" t="s">
        <v>23</v>
      </c>
    </row>
    <row r="24" spans="3:15" ht="21" x14ac:dyDescent="0.25">
      <c r="C24" s="31">
        <v>5</v>
      </c>
      <c r="D24" s="43"/>
      <c r="E24" s="43"/>
      <c r="F24" s="42" t="s">
        <v>19</v>
      </c>
      <c r="G24" s="42" t="s">
        <v>0</v>
      </c>
      <c r="H24" s="43"/>
      <c r="I24" s="8"/>
      <c r="J24" s="43"/>
      <c r="K24" s="9"/>
      <c r="L24" s="3"/>
      <c r="M24" s="8" t="s">
        <v>24</v>
      </c>
      <c r="N24" s="8" t="s">
        <v>25</v>
      </c>
      <c r="O24" s="38"/>
    </row>
    <row r="25" spans="3:15" ht="21" x14ac:dyDescent="0.25">
      <c r="C25" s="31">
        <v>6</v>
      </c>
      <c r="D25" s="8"/>
      <c r="E25" s="8"/>
      <c r="F25" s="42" t="s">
        <v>17</v>
      </c>
      <c r="G25" s="43"/>
      <c r="H25" s="8"/>
      <c r="I25" s="8"/>
      <c r="J25" s="8"/>
      <c r="K25" s="9"/>
      <c r="L25" s="3"/>
      <c r="M25" s="3"/>
      <c r="N25" s="3"/>
      <c r="O25" s="14"/>
    </row>
    <row r="26" spans="3:15" ht="21" x14ac:dyDescent="0.25">
      <c r="C26" s="31">
        <v>7</v>
      </c>
      <c r="D26" s="8"/>
      <c r="E26" s="42" t="s">
        <v>6</v>
      </c>
      <c r="F26" s="8"/>
      <c r="G26" s="8"/>
      <c r="H26" s="43"/>
      <c r="I26" s="8"/>
      <c r="J26" s="8"/>
      <c r="K26" s="9"/>
      <c r="L26" s="3"/>
      <c r="M26" s="3"/>
      <c r="N26" s="3"/>
      <c r="O26" s="14"/>
    </row>
    <row r="27" spans="3:15" ht="21.75" thickBot="1" x14ac:dyDescent="0.3">
      <c r="C27" s="32">
        <v>8</v>
      </c>
      <c r="D27" s="46" t="s">
        <v>4</v>
      </c>
      <c r="E27" s="11"/>
      <c r="F27" s="11"/>
      <c r="G27" s="49"/>
      <c r="H27" s="11"/>
      <c r="I27" s="11"/>
      <c r="J27" s="11"/>
      <c r="K27" s="12"/>
      <c r="L27" s="34"/>
      <c r="M27" s="34"/>
      <c r="N27" s="34"/>
      <c r="O27" s="39"/>
    </row>
    <row r="28" spans="3:15" ht="21" x14ac:dyDescent="0.25">
      <c r="M28" s="3"/>
      <c r="N28" s="3"/>
      <c r="O28" s="3"/>
    </row>
  </sheetData>
  <mergeCells count="7">
    <mergeCell ref="C15:O15"/>
    <mergeCell ref="M12:O12"/>
    <mergeCell ref="M11:O11"/>
    <mergeCell ref="C4:O4"/>
    <mergeCell ref="M6:O6"/>
    <mergeCell ref="M8:O8"/>
    <mergeCell ref="M10:O10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9B8D-5173-43D6-AFA7-2E33470700D3}">
  <dimension ref="B1:Q35"/>
  <sheetViews>
    <sheetView zoomScale="85" zoomScaleNormal="85" workbookViewId="0">
      <selection activeCell="AG2" sqref="AG2:AO34"/>
    </sheetView>
  </sheetViews>
  <sheetFormatPr defaultColWidth="3.42578125" defaultRowHeight="18" customHeight="1" x14ac:dyDescent="0.2"/>
  <cols>
    <col min="1" max="1" width="5.85546875" style="54" customWidth="1"/>
    <col min="2" max="2" width="1" style="54" customWidth="1"/>
    <col min="3" max="3" width="3.42578125" style="54" customWidth="1"/>
    <col min="4" max="11" width="3.42578125" style="54"/>
    <col min="12" max="12" width="0.42578125" style="54" customWidth="1"/>
    <col min="13" max="16" width="3.42578125" style="54"/>
    <col min="17" max="17" width="0.7109375" style="54" customWidth="1"/>
    <col min="18" max="16384" width="3.42578125" style="54"/>
  </cols>
  <sheetData>
    <row r="1" spans="2:17" ht="4.5" customHeight="1" thickBot="1" x14ac:dyDescent="0.25">
      <c r="B1" s="51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3"/>
    </row>
    <row r="2" spans="2:17" ht="18" customHeight="1" thickBot="1" x14ac:dyDescent="0.25">
      <c r="B2" s="55"/>
      <c r="C2" s="132" t="s">
        <v>26</v>
      </c>
      <c r="D2" s="133"/>
      <c r="E2" s="133"/>
      <c r="F2" s="133"/>
      <c r="G2" s="133"/>
      <c r="H2" s="133"/>
      <c r="I2" s="133"/>
      <c r="J2" s="133"/>
      <c r="K2" s="134"/>
      <c r="L2" s="60"/>
      <c r="M2" s="60"/>
      <c r="N2" s="60"/>
      <c r="O2" s="60"/>
      <c r="P2" s="60"/>
      <c r="Q2" s="56"/>
    </row>
    <row r="3" spans="2:17" ht="18" customHeight="1" thickBot="1" x14ac:dyDescent="0.25">
      <c r="B3" s="55"/>
      <c r="C3" s="94" t="s">
        <v>0</v>
      </c>
      <c r="D3" s="95" t="s">
        <v>1</v>
      </c>
      <c r="E3" s="95" t="s">
        <v>2</v>
      </c>
      <c r="F3" s="95" t="s">
        <v>3</v>
      </c>
      <c r="G3" s="95" t="s">
        <v>4</v>
      </c>
      <c r="H3" s="95" t="s">
        <v>5</v>
      </c>
      <c r="I3" s="95" t="s">
        <v>6</v>
      </c>
      <c r="J3" s="95" t="s">
        <v>7</v>
      </c>
      <c r="K3" s="96" t="s">
        <v>8</v>
      </c>
      <c r="L3" s="60"/>
      <c r="M3" s="60"/>
      <c r="N3" s="60"/>
      <c r="O3" s="60"/>
      <c r="P3" s="60"/>
      <c r="Q3" s="56"/>
    </row>
    <row r="4" spans="2:17" ht="18" customHeight="1" thickBot="1" x14ac:dyDescent="0.25">
      <c r="B4" s="51"/>
      <c r="C4" s="97" t="s">
        <v>9</v>
      </c>
      <c r="D4" s="65" t="s">
        <v>10</v>
      </c>
      <c r="E4" s="103" t="s">
        <v>11</v>
      </c>
      <c r="F4" s="65" t="s">
        <v>12</v>
      </c>
      <c r="G4" s="88" t="s">
        <v>13</v>
      </c>
      <c r="H4" s="88" t="s">
        <v>14</v>
      </c>
      <c r="I4" s="65" t="s">
        <v>15</v>
      </c>
      <c r="J4" s="65" t="s">
        <v>16</v>
      </c>
      <c r="K4" s="101" t="s">
        <v>17</v>
      </c>
      <c r="L4" s="52"/>
      <c r="M4" s="52"/>
      <c r="N4" s="52"/>
      <c r="O4" s="52"/>
      <c r="P4" s="52"/>
      <c r="Q4" s="53"/>
    </row>
    <row r="5" spans="2:17" ht="18" customHeight="1" thickBot="1" x14ac:dyDescent="0.25">
      <c r="B5" s="55"/>
      <c r="C5" s="98" t="s">
        <v>18</v>
      </c>
      <c r="D5" s="99" t="s">
        <v>19</v>
      </c>
      <c r="E5" s="99" t="s">
        <v>20</v>
      </c>
      <c r="F5" s="99" t="s">
        <v>21</v>
      </c>
      <c r="G5" s="102" t="s">
        <v>22</v>
      </c>
      <c r="H5" s="99" t="s">
        <v>23</v>
      </c>
      <c r="I5" s="99" t="s">
        <v>24</v>
      </c>
      <c r="J5" s="99" t="s">
        <v>25</v>
      </c>
      <c r="K5" s="100"/>
      <c r="L5" s="52"/>
      <c r="M5" s="52"/>
      <c r="N5" s="52"/>
      <c r="O5" s="52"/>
      <c r="P5" s="53"/>
      <c r="Q5" s="56"/>
    </row>
    <row r="6" spans="2:17" ht="18" customHeight="1" x14ac:dyDescent="0.2">
      <c r="B6" s="55"/>
      <c r="C6" s="57"/>
      <c r="D6" s="58" t="s">
        <v>0</v>
      </c>
      <c r="E6" s="58" t="s">
        <v>1</v>
      </c>
      <c r="F6" s="58" t="s">
        <v>2</v>
      </c>
      <c r="G6" s="58" t="s">
        <v>3</v>
      </c>
      <c r="H6" s="58" t="s">
        <v>4</v>
      </c>
      <c r="I6" s="58" t="s">
        <v>5</v>
      </c>
      <c r="J6" s="58" t="s">
        <v>6</v>
      </c>
      <c r="K6" s="59" t="s">
        <v>7</v>
      </c>
      <c r="L6" s="60"/>
      <c r="M6" s="60"/>
      <c r="N6" s="60"/>
      <c r="O6" s="60"/>
      <c r="P6" s="56"/>
      <c r="Q6" s="56"/>
    </row>
    <row r="7" spans="2:17" ht="18" customHeight="1" x14ac:dyDescent="0.2">
      <c r="B7" s="55"/>
      <c r="C7" s="61">
        <v>1</v>
      </c>
      <c r="D7" s="62"/>
      <c r="E7" s="62"/>
      <c r="F7" s="62"/>
      <c r="G7" s="62"/>
      <c r="H7" s="62" t="s">
        <v>6</v>
      </c>
      <c r="I7" s="62"/>
      <c r="J7" s="62"/>
      <c r="K7" s="63"/>
      <c r="L7" s="60"/>
      <c r="M7" s="60"/>
      <c r="N7" s="60"/>
      <c r="O7" s="60"/>
      <c r="P7" s="56"/>
      <c r="Q7" s="56"/>
    </row>
    <row r="8" spans="2:17" ht="18" customHeight="1" x14ac:dyDescent="0.2">
      <c r="B8" s="55"/>
      <c r="C8" s="61">
        <v>2</v>
      </c>
      <c r="D8" s="62"/>
      <c r="E8" s="62"/>
      <c r="F8" s="62" t="s">
        <v>2</v>
      </c>
      <c r="G8" s="62"/>
      <c r="H8" s="88" t="s">
        <v>14</v>
      </c>
      <c r="I8" s="62"/>
      <c r="J8" s="62"/>
      <c r="K8" s="64"/>
      <c r="L8" s="60"/>
      <c r="M8" s="60"/>
      <c r="N8" s="60"/>
      <c r="O8" s="60"/>
      <c r="P8" s="56"/>
      <c r="Q8" s="56"/>
    </row>
    <row r="9" spans="2:17" ht="18" customHeight="1" x14ac:dyDescent="0.2">
      <c r="B9" s="55"/>
      <c r="C9" s="61">
        <v>3</v>
      </c>
      <c r="D9" s="65"/>
      <c r="E9" s="65"/>
      <c r="F9" s="88" t="s">
        <v>17</v>
      </c>
      <c r="G9" s="65"/>
      <c r="H9" s="65" t="s">
        <v>22</v>
      </c>
      <c r="I9" s="65"/>
      <c r="J9" s="65"/>
      <c r="K9" s="63"/>
      <c r="L9" s="60"/>
      <c r="M9" s="60"/>
      <c r="N9" s="60"/>
      <c r="O9" s="60"/>
      <c r="P9" s="56"/>
      <c r="Q9" s="56"/>
    </row>
    <row r="10" spans="2:17" ht="18" customHeight="1" x14ac:dyDescent="0.2">
      <c r="B10" s="55"/>
      <c r="C10" s="61">
        <v>4</v>
      </c>
      <c r="D10" s="65"/>
      <c r="E10" s="65"/>
      <c r="F10" s="88" t="s">
        <v>14</v>
      </c>
      <c r="G10" s="65" t="s">
        <v>22</v>
      </c>
      <c r="H10" s="88" t="s">
        <v>13</v>
      </c>
      <c r="I10" s="65"/>
      <c r="J10" s="65"/>
      <c r="K10" s="63"/>
      <c r="L10" s="60"/>
      <c r="M10" s="60"/>
      <c r="N10" s="60"/>
      <c r="O10" s="60"/>
      <c r="P10" s="56"/>
      <c r="Q10" s="56"/>
    </row>
    <row r="11" spans="2:17" ht="18" customHeight="1" x14ac:dyDescent="0.2">
      <c r="B11" s="55"/>
      <c r="C11" s="61">
        <v>5</v>
      </c>
      <c r="D11" s="65"/>
      <c r="E11" s="66"/>
      <c r="F11" s="88" t="s">
        <v>22</v>
      </c>
      <c r="G11" s="65"/>
      <c r="H11" s="67"/>
      <c r="I11" s="65"/>
      <c r="J11" s="65"/>
      <c r="K11" s="63"/>
      <c r="L11" s="60"/>
      <c r="M11" s="60"/>
      <c r="N11" s="60"/>
      <c r="O11" s="60"/>
      <c r="P11" s="56"/>
      <c r="Q11" s="56"/>
    </row>
    <row r="12" spans="2:17" ht="18" customHeight="1" x14ac:dyDescent="0.2">
      <c r="B12" s="55"/>
      <c r="C12" s="61">
        <v>6</v>
      </c>
      <c r="D12" s="65"/>
      <c r="E12" s="65"/>
      <c r="F12" s="88" t="s">
        <v>13</v>
      </c>
      <c r="G12" s="65"/>
      <c r="H12" s="65"/>
      <c r="I12" s="65"/>
      <c r="J12" s="65"/>
      <c r="K12" s="63"/>
      <c r="L12" s="60"/>
      <c r="M12" s="60"/>
      <c r="N12" s="60"/>
      <c r="O12" s="60"/>
      <c r="P12" s="56"/>
      <c r="Q12" s="56"/>
    </row>
    <row r="13" spans="2:17" ht="18" customHeight="1" x14ac:dyDescent="0.2">
      <c r="B13" s="55"/>
      <c r="C13" s="61">
        <v>7</v>
      </c>
      <c r="D13" s="67"/>
      <c r="E13" s="65"/>
      <c r="F13" s="65"/>
      <c r="G13" s="65"/>
      <c r="H13" s="65"/>
      <c r="I13" s="65"/>
      <c r="J13" s="65"/>
      <c r="K13" s="64"/>
      <c r="L13" s="60"/>
      <c r="M13" s="60"/>
      <c r="N13" s="60"/>
      <c r="O13" s="60"/>
      <c r="P13" s="56"/>
      <c r="Q13" s="56"/>
    </row>
    <row r="14" spans="2:17" ht="18" customHeight="1" thickBot="1" x14ac:dyDescent="0.25">
      <c r="B14" s="55"/>
      <c r="C14" s="68">
        <v>8</v>
      </c>
      <c r="D14" s="69"/>
      <c r="E14" s="69"/>
      <c r="F14" s="69"/>
      <c r="G14" s="69"/>
      <c r="H14" s="69"/>
      <c r="I14" s="69"/>
      <c r="J14" s="69"/>
      <c r="K14" s="70"/>
      <c r="L14" s="60"/>
      <c r="M14" s="60"/>
      <c r="N14" s="60"/>
      <c r="O14" s="60"/>
      <c r="P14" s="56"/>
      <c r="Q14" s="56"/>
    </row>
    <row r="15" spans="2:17" ht="18" customHeight="1" x14ac:dyDescent="0.2">
      <c r="B15" s="55"/>
      <c r="C15" s="138" t="s">
        <v>29</v>
      </c>
      <c r="D15" s="139"/>
      <c r="E15" s="140"/>
      <c r="F15" s="138" t="s">
        <v>30</v>
      </c>
      <c r="G15" s="139"/>
      <c r="H15" s="140"/>
      <c r="I15" s="138" t="s">
        <v>31</v>
      </c>
      <c r="J15" s="139"/>
      <c r="K15" s="140"/>
      <c r="L15" s="60"/>
      <c r="M15" s="144" t="s">
        <v>36</v>
      </c>
      <c r="N15" s="145"/>
      <c r="O15" s="145"/>
      <c r="P15" s="146"/>
      <c r="Q15" s="56"/>
    </row>
    <row r="16" spans="2:17" ht="18" customHeight="1" thickBot="1" x14ac:dyDescent="0.25">
      <c r="B16" s="55"/>
      <c r="C16" s="141"/>
      <c r="D16" s="142"/>
      <c r="E16" s="143"/>
      <c r="F16" s="141"/>
      <c r="G16" s="142"/>
      <c r="H16" s="143"/>
      <c r="I16" s="141"/>
      <c r="J16" s="142"/>
      <c r="K16" s="143"/>
      <c r="L16" s="60"/>
      <c r="M16" s="147"/>
      <c r="N16" s="148"/>
      <c r="O16" s="148"/>
      <c r="P16" s="149"/>
      <c r="Q16" s="56"/>
    </row>
    <row r="17" spans="2:17" ht="18" customHeight="1" thickBot="1" x14ac:dyDescent="0.25">
      <c r="B17" s="55"/>
      <c r="C17" s="135" t="s">
        <v>32</v>
      </c>
      <c r="D17" s="136"/>
      <c r="E17" s="137"/>
      <c r="F17" s="135" t="s">
        <v>33</v>
      </c>
      <c r="G17" s="136"/>
      <c r="H17" s="137"/>
      <c r="I17" s="135" t="s">
        <v>34</v>
      </c>
      <c r="J17" s="136"/>
      <c r="K17" s="137"/>
      <c r="L17" s="60"/>
      <c r="M17" s="156">
        <v>10</v>
      </c>
      <c r="N17" s="157"/>
      <c r="O17" s="157"/>
      <c r="P17" s="158"/>
      <c r="Q17" s="56"/>
    </row>
    <row r="18" spans="2:17" ht="8.25" customHeight="1" thickBot="1" x14ac:dyDescent="0.25">
      <c r="B18" s="55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56"/>
    </row>
    <row r="19" spans="2:17" ht="18" customHeight="1" thickBot="1" x14ac:dyDescent="0.25">
      <c r="B19" s="55"/>
      <c r="C19" s="159" t="s">
        <v>28</v>
      </c>
      <c r="D19" s="160"/>
      <c r="E19" s="160"/>
      <c r="F19" s="160"/>
      <c r="G19" s="160"/>
      <c r="H19" s="160"/>
      <c r="I19" s="160"/>
      <c r="J19" s="160"/>
      <c r="K19" s="161"/>
      <c r="L19" s="60"/>
      <c r="M19" s="60"/>
      <c r="N19" s="60"/>
      <c r="O19" s="60"/>
      <c r="P19" s="56"/>
      <c r="Q19" s="56"/>
    </row>
    <row r="20" spans="2:17" ht="18" customHeight="1" x14ac:dyDescent="0.2">
      <c r="B20" s="55"/>
      <c r="C20" s="92" t="s">
        <v>0</v>
      </c>
      <c r="D20" s="91" t="s">
        <v>1</v>
      </c>
      <c r="E20" s="73" t="s">
        <v>2</v>
      </c>
      <c r="F20" s="73" t="s">
        <v>3</v>
      </c>
      <c r="G20" s="91" t="s">
        <v>4</v>
      </c>
      <c r="H20" s="73" t="s">
        <v>5</v>
      </c>
      <c r="I20" s="91" t="s">
        <v>6</v>
      </c>
      <c r="J20" s="74" t="s">
        <v>7</v>
      </c>
      <c r="K20" s="75" t="s">
        <v>8</v>
      </c>
      <c r="L20" s="60"/>
      <c r="M20" s="60"/>
      <c r="N20" s="60"/>
      <c r="O20" s="60"/>
      <c r="P20" s="56"/>
      <c r="Q20" s="56"/>
    </row>
    <row r="21" spans="2:17" ht="18" customHeight="1" x14ac:dyDescent="0.2">
      <c r="B21" s="55"/>
      <c r="C21" s="76" t="s">
        <v>9</v>
      </c>
      <c r="D21" s="62" t="s">
        <v>10</v>
      </c>
      <c r="E21" s="89" t="s">
        <v>11</v>
      </c>
      <c r="F21" s="62" t="s">
        <v>12</v>
      </c>
      <c r="G21" s="62" t="s">
        <v>13</v>
      </c>
      <c r="H21" s="89" t="s">
        <v>14</v>
      </c>
      <c r="I21" s="62" t="s">
        <v>15</v>
      </c>
      <c r="J21" s="62" t="s">
        <v>16</v>
      </c>
      <c r="K21" s="93" t="s">
        <v>17</v>
      </c>
      <c r="L21" s="60"/>
      <c r="M21" s="60"/>
      <c r="N21" s="60"/>
      <c r="O21" s="60"/>
      <c r="P21" s="56"/>
      <c r="Q21" s="56"/>
    </row>
    <row r="22" spans="2:17" ht="18" customHeight="1" thickBot="1" x14ac:dyDescent="0.25">
      <c r="B22" s="55"/>
      <c r="C22" s="77" t="s">
        <v>18</v>
      </c>
      <c r="D22" s="90" t="s">
        <v>19</v>
      </c>
      <c r="E22" s="69" t="s">
        <v>20</v>
      </c>
      <c r="F22" s="69" t="s">
        <v>21</v>
      </c>
      <c r="G22" s="69" t="s">
        <v>22</v>
      </c>
      <c r="H22" s="69" t="s">
        <v>23</v>
      </c>
      <c r="I22" s="69" t="s">
        <v>24</v>
      </c>
      <c r="J22" s="69" t="s">
        <v>25</v>
      </c>
      <c r="K22" s="100"/>
      <c r="L22" s="60"/>
      <c r="M22" s="60"/>
      <c r="N22" s="60"/>
      <c r="O22" s="60"/>
      <c r="P22" s="56"/>
      <c r="Q22" s="56"/>
    </row>
    <row r="23" spans="2:17" ht="18" customHeight="1" thickBot="1" x14ac:dyDescent="0.25">
      <c r="B23" s="55"/>
      <c r="C23" s="71">
        <v>1</v>
      </c>
      <c r="D23" s="72" t="s">
        <v>27</v>
      </c>
      <c r="E23" s="72" t="s">
        <v>14</v>
      </c>
      <c r="F23" s="72" t="s">
        <v>6</v>
      </c>
      <c r="G23" s="78"/>
      <c r="H23" s="78"/>
      <c r="I23" s="78"/>
      <c r="J23" s="78"/>
      <c r="K23" s="79"/>
      <c r="L23" s="60"/>
      <c r="M23" s="60"/>
      <c r="N23" s="60"/>
      <c r="O23" s="60"/>
      <c r="P23" s="56"/>
      <c r="Q23" s="56"/>
    </row>
    <row r="24" spans="2:17" ht="18" customHeight="1" thickBot="1" x14ac:dyDescent="0.25">
      <c r="B24" s="55"/>
      <c r="C24" s="80">
        <v>2</v>
      </c>
      <c r="D24" s="81" t="s">
        <v>1</v>
      </c>
      <c r="E24" s="81" t="s">
        <v>14</v>
      </c>
      <c r="F24" s="81" t="s">
        <v>0</v>
      </c>
      <c r="G24" s="81" t="s">
        <v>19</v>
      </c>
      <c r="H24" s="82"/>
      <c r="I24" s="82"/>
      <c r="J24" s="82"/>
      <c r="K24" s="83"/>
      <c r="L24" s="60"/>
      <c r="M24" s="60"/>
      <c r="N24" s="60"/>
      <c r="O24" s="60"/>
      <c r="P24" s="56"/>
      <c r="Q24" s="56"/>
    </row>
    <row r="25" spans="2:17" ht="18" customHeight="1" thickBot="1" x14ac:dyDescent="0.25">
      <c r="B25" s="55"/>
      <c r="C25" s="80">
        <v>3</v>
      </c>
      <c r="D25" s="81" t="s">
        <v>11</v>
      </c>
      <c r="E25" s="81" t="s">
        <v>0</v>
      </c>
      <c r="F25" s="81" t="s">
        <v>17</v>
      </c>
      <c r="G25" s="81" t="s">
        <v>6</v>
      </c>
      <c r="H25" s="81" t="s">
        <v>4</v>
      </c>
      <c r="I25" s="82"/>
      <c r="J25" s="82"/>
      <c r="K25" s="83"/>
      <c r="L25" s="60"/>
      <c r="M25" s="60"/>
      <c r="N25" s="60"/>
      <c r="O25" s="60"/>
      <c r="P25" s="56"/>
      <c r="Q25" s="56"/>
    </row>
    <row r="26" spans="2:17" ht="18" customHeight="1" x14ac:dyDescent="0.2">
      <c r="B26" s="55"/>
      <c r="C26" s="84"/>
      <c r="D26" s="58" t="s">
        <v>0</v>
      </c>
      <c r="E26" s="58" t="s">
        <v>1</v>
      </c>
      <c r="F26" s="58" t="s">
        <v>2</v>
      </c>
      <c r="G26" s="58" t="s">
        <v>3</v>
      </c>
      <c r="H26" s="58" t="s">
        <v>4</v>
      </c>
      <c r="I26" s="58" t="s">
        <v>5</v>
      </c>
      <c r="J26" s="58" t="s">
        <v>6</v>
      </c>
      <c r="K26" s="59" t="s">
        <v>7</v>
      </c>
      <c r="L26" s="60"/>
      <c r="M26" s="60"/>
      <c r="N26" s="60"/>
      <c r="O26" s="60"/>
      <c r="P26" s="56"/>
      <c r="Q26" s="56"/>
    </row>
    <row r="27" spans="2:17" ht="18" customHeight="1" x14ac:dyDescent="0.2">
      <c r="B27" s="55"/>
      <c r="C27" s="61">
        <v>1</v>
      </c>
      <c r="D27" s="62"/>
      <c r="E27" s="62"/>
      <c r="F27" s="62"/>
      <c r="G27" s="62"/>
      <c r="H27" s="62"/>
      <c r="I27" s="62"/>
      <c r="J27" s="62"/>
      <c r="K27" s="63"/>
      <c r="L27" s="60"/>
      <c r="M27" s="60"/>
      <c r="N27" s="60"/>
      <c r="O27" s="60"/>
      <c r="P27" s="56"/>
      <c r="Q27" s="56"/>
    </row>
    <row r="28" spans="2:17" ht="18" customHeight="1" x14ac:dyDescent="0.2">
      <c r="B28" s="55"/>
      <c r="C28" s="61">
        <v>2</v>
      </c>
      <c r="D28" s="62"/>
      <c r="E28" s="62"/>
      <c r="F28" s="89" t="s">
        <v>1</v>
      </c>
      <c r="G28" s="62"/>
      <c r="H28" s="62"/>
      <c r="I28" s="62"/>
      <c r="J28" s="62"/>
      <c r="K28" s="63"/>
      <c r="L28" s="60"/>
      <c r="M28" s="60"/>
      <c r="N28" s="60"/>
      <c r="O28" s="60"/>
      <c r="P28" s="56"/>
      <c r="Q28" s="56"/>
    </row>
    <row r="29" spans="2:17" ht="18" customHeight="1" x14ac:dyDescent="0.2">
      <c r="B29" s="55"/>
      <c r="C29" s="61">
        <v>3</v>
      </c>
      <c r="D29" s="62"/>
      <c r="E29" s="67"/>
      <c r="F29" s="89" t="s">
        <v>14</v>
      </c>
      <c r="G29" s="62"/>
      <c r="H29" s="62"/>
      <c r="I29" s="62"/>
      <c r="J29" s="62"/>
      <c r="K29" s="63"/>
      <c r="L29" s="60"/>
      <c r="M29" s="60"/>
      <c r="N29" s="60"/>
      <c r="O29" s="60"/>
      <c r="P29" s="56"/>
      <c r="Q29" s="56"/>
    </row>
    <row r="30" spans="2:17" ht="18" customHeight="1" thickBot="1" x14ac:dyDescent="0.25">
      <c r="B30" s="55"/>
      <c r="C30" s="61">
        <v>4</v>
      </c>
      <c r="D30" s="62"/>
      <c r="E30" s="67"/>
      <c r="F30" s="89" t="s">
        <v>0</v>
      </c>
      <c r="G30" s="67"/>
      <c r="H30" s="89" t="s">
        <v>11</v>
      </c>
      <c r="I30" s="62"/>
      <c r="J30" s="62"/>
      <c r="K30" s="63"/>
      <c r="L30" s="60"/>
      <c r="M30" s="60"/>
      <c r="N30" s="60"/>
      <c r="O30" s="60"/>
      <c r="P30" s="56"/>
      <c r="Q30" s="56"/>
    </row>
    <row r="31" spans="2:17" ht="18" customHeight="1" x14ac:dyDescent="0.2">
      <c r="B31" s="55"/>
      <c r="C31" s="61">
        <v>5</v>
      </c>
      <c r="D31" s="62"/>
      <c r="E31" s="67"/>
      <c r="F31" s="89" t="s">
        <v>19</v>
      </c>
      <c r="G31" s="89" t="s">
        <v>0</v>
      </c>
      <c r="H31" s="62"/>
      <c r="I31" s="62"/>
      <c r="J31" s="67"/>
      <c r="K31" s="63"/>
      <c r="L31" s="60"/>
      <c r="M31" s="150" t="s">
        <v>36</v>
      </c>
      <c r="N31" s="151"/>
      <c r="O31" s="151"/>
      <c r="P31" s="152"/>
      <c r="Q31" s="56"/>
    </row>
    <row r="32" spans="2:17" ht="18" customHeight="1" thickBot="1" x14ac:dyDescent="0.25">
      <c r="B32" s="55"/>
      <c r="C32" s="61">
        <v>6</v>
      </c>
      <c r="D32" s="62"/>
      <c r="E32" s="62"/>
      <c r="F32" s="89" t="s">
        <v>17</v>
      </c>
      <c r="G32" s="67"/>
      <c r="H32" s="62"/>
      <c r="I32" s="62"/>
      <c r="J32" s="62"/>
      <c r="K32" s="63"/>
      <c r="L32" s="60"/>
      <c r="M32" s="153"/>
      <c r="N32" s="154"/>
      <c r="O32" s="154"/>
      <c r="P32" s="155"/>
      <c r="Q32" s="56"/>
    </row>
    <row r="33" spans="2:17" ht="18" customHeight="1" thickBot="1" x14ac:dyDescent="0.25">
      <c r="B33" s="55"/>
      <c r="C33" s="61">
        <v>7</v>
      </c>
      <c r="D33" s="62"/>
      <c r="E33" s="89" t="s">
        <v>6</v>
      </c>
      <c r="F33" s="62"/>
      <c r="G33" s="62"/>
      <c r="H33" s="67"/>
      <c r="I33" s="62"/>
      <c r="J33" s="62"/>
      <c r="K33" s="63"/>
      <c r="L33" s="60"/>
      <c r="M33" s="135">
        <v>5</v>
      </c>
      <c r="N33" s="136"/>
      <c r="O33" s="136"/>
      <c r="P33" s="137"/>
      <c r="Q33" s="56"/>
    </row>
    <row r="34" spans="2:17" ht="18" customHeight="1" thickBot="1" x14ac:dyDescent="0.25">
      <c r="B34" s="55"/>
      <c r="C34" s="68">
        <v>8</v>
      </c>
      <c r="D34" s="90" t="s">
        <v>4</v>
      </c>
      <c r="E34" s="69"/>
      <c r="F34" s="69"/>
      <c r="G34" s="69"/>
      <c r="H34" s="69"/>
      <c r="I34" s="69"/>
      <c r="J34" s="69"/>
      <c r="K34" s="70"/>
      <c r="L34" s="85"/>
      <c r="M34" s="85"/>
      <c r="N34" s="85"/>
      <c r="O34" s="85"/>
      <c r="P34" s="85"/>
      <c r="Q34" s="56"/>
    </row>
    <row r="35" spans="2:17" ht="2.25" customHeight="1" thickBot="1" x14ac:dyDescent="0.25">
      <c r="B35" s="86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7"/>
    </row>
  </sheetData>
  <mergeCells count="12">
    <mergeCell ref="M15:P16"/>
    <mergeCell ref="M31:P32"/>
    <mergeCell ref="M17:P17"/>
    <mergeCell ref="M33:P33"/>
    <mergeCell ref="C19:K19"/>
    <mergeCell ref="C2:K2"/>
    <mergeCell ref="C17:E17"/>
    <mergeCell ref="F17:H17"/>
    <mergeCell ref="I17:K17"/>
    <mergeCell ref="C15:E16"/>
    <mergeCell ref="F15:H16"/>
    <mergeCell ref="I15:K16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3766D-0798-4A53-BEED-6015BF323E88}">
  <dimension ref="B1:BH34"/>
  <sheetViews>
    <sheetView topLeftCell="A25" zoomScaleNormal="100" workbookViewId="0">
      <selection activeCell="AO40" sqref="AO40"/>
    </sheetView>
  </sheetViews>
  <sheetFormatPr defaultColWidth="3.42578125" defaultRowHeight="18" customHeight="1" x14ac:dyDescent="0.25"/>
  <sheetData>
    <row r="1" spans="2:60" ht="18" customHeight="1" thickBot="1" x14ac:dyDescent="0.3"/>
    <row r="2" spans="2:60" ht="18" customHeight="1" thickBot="1" x14ac:dyDescent="0.3">
      <c r="B2" s="159" t="s">
        <v>37</v>
      </c>
      <c r="C2" s="160"/>
      <c r="D2" s="160"/>
      <c r="E2" s="160"/>
      <c r="F2" s="160"/>
      <c r="G2" s="160"/>
      <c r="H2" s="160"/>
      <c r="I2" s="160"/>
      <c r="J2" s="161"/>
    </row>
    <row r="3" spans="2:60" ht="18" customHeight="1" x14ac:dyDescent="0.25">
      <c r="B3" s="94" t="s">
        <v>0</v>
      </c>
      <c r="C3" s="95" t="s">
        <v>1</v>
      </c>
      <c r="D3" s="95" t="s">
        <v>2</v>
      </c>
      <c r="E3" s="95" t="s">
        <v>3</v>
      </c>
      <c r="F3" s="95" t="s">
        <v>4</v>
      </c>
      <c r="G3" s="95" t="s">
        <v>5</v>
      </c>
      <c r="H3" s="95" t="s">
        <v>6</v>
      </c>
      <c r="I3" s="95" t="s">
        <v>7</v>
      </c>
      <c r="J3" s="96" t="s">
        <v>8</v>
      </c>
      <c r="BH3" t="s">
        <v>40</v>
      </c>
    </row>
    <row r="4" spans="2:60" ht="18" customHeight="1" x14ac:dyDescent="0.25">
      <c r="B4" s="97" t="s">
        <v>9</v>
      </c>
      <c r="C4" s="65" t="s">
        <v>10</v>
      </c>
      <c r="D4" s="65" t="s">
        <v>11</v>
      </c>
      <c r="E4" s="65" t="s">
        <v>12</v>
      </c>
      <c r="F4" s="65" t="s">
        <v>13</v>
      </c>
      <c r="G4" s="65" t="s">
        <v>14</v>
      </c>
      <c r="H4" s="65" t="s">
        <v>15</v>
      </c>
      <c r="I4" s="65" t="s">
        <v>16</v>
      </c>
      <c r="J4" s="104" t="s">
        <v>17</v>
      </c>
    </row>
    <row r="5" spans="2:60" ht="18" customHeight="1" thickBot="1" x14ac:dyDescent="0.3">
      <c r="B5" s="98" t="s">
        <v>18</v>
      </c>
      <c r="C5" s="99" t="s">
        <v>19</v>
      </c>
      <c r="D5" s="99" t="s">
        <v>20</v>
      </c>
      <c r="E5" s="99" t="s">
        <v>21</v>
      </c>
      <c r="F5" s="99" t="s">
        <v>22</v>
      </c>
      <c r="G5" s="99" t="s">
        <v>23</v>
      </c>
      <c r="H5" s="99" t="s">
        <v>24</v>
      </c>
      <c r="I5" s="99" t="s">
        <v>25</v>
      </c>
      <c r="J5" s="100"/>
    </row>
    <row r="6" spans="2:60" ht="18" customHeight="1" thickBot="1" x14ac:dyDescent="0.3">
      <c r="B6" s="106">
        <v>1</v>
      </c>
      <c r="C6" s="113" t="s">
        <v>2</v>
      </c>
      <c r="D6" s="113" t="s">
        <v>0</v>
      </c>
      <c r="E6" s="113" t="s">
        <v>19</v>
      </c>
      <c r="F6" s="107"/>
      <c r="G6" s="107"/>
      <c r="H6" s="107"/>
      <c r="I6" s="107"/>
      <c r="J6" s="108"/>
    </row>
    <row r="7" spans="2:60" ht="18" customHeight="1" thickBot="1" x14ac:dyDescent="0.3">
      <c r="B7" s="109">
        <v>2</v>
      </c>
      <c r="C7" s="114" t="s">
        <v>12</v>
      </c>
      <c r="D7" s="114" t="s">
        <v>14</v>
      </c>
      <c r="E7" s="114" t="s">
        <v>0</v>
      </c>
      <c r="F7" s="114" t="s">
        <v>19</v>
      </c>
      <c r="G7" s="110"/>
      <c r="H7" s="110"/>
      <c r="I7" s="110"/>
      <c r="J7" s="111"/>
    </row>
    <row r="8" spans="2:60" ht="18" customHeight="1" thickBot="1" x14ac:dyDescent="0.3">
      <c r="B8" s="109">
        <v>3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/>
      <c r="I8" s="110"/>
      <c r="J8" s="111"/>
    </row>
    <row r="9" spans="2:60" ht="18" customHeight="1" x14ac:dyDescent="0.25">
      <c r="B9" s="84"/>
      <c r="C9" s="58" t="s">
        <v>0</v>
      </c>
      <c r="D9" s="58" t="s">
        <v>1</v>
      </c>
      <c r="E9" s="58" t="s">
        <v>2</v>
      </c>
      <c r="F9" s="58" t="s">
        <v>3</v>
      </c>
      <c r="G9" s="58" t="s">
        <v>4</v>
      </c>
      <c r="H9" s="58" t="s">
        <v>5</v>
      </c>
      <c r="I9" s="58" t="s">
        <v>6</v>
      </c>
      <c r="J9" s="59" t="s">
        <v>7</v>
      </c>
    </row>
    <row r="10" spans="2:60" ht="18" customHeight="1" x14ac:dyDescent="0.25">
      <c r="B10" s="61">
        <v>1</v>
      </c>
      <c r="C10" s="65"/>
      <c r="D10" s="115"/>
      <c r="E10" s="65"/>
      <c r="F10" s="65"/>
      <c r="G10" s="65"/>
      <c r="H10" s="65"/>
      <c r="I10" s="65"/>
      <c r="J10" s="104"/>
    </row>
    <row r="11" spans="2:60" ht="18" customHeight="1" x14ac:dyDescent="0.25">
      <c r="B11" s="61">
        <v>2</v>
      </c>
      <c r="C11" s="65"/>
      <c r="D11" s="65"/>
      <c r="E11" s="65"/>
      <c r="F11" s="65"/>
      <c r="G11" s="65"/>
      <c r="H11" s="65"/>
      <c r="I11" s="65"/>
      <c r="J11" s="104"/>
    </row>
    <row r="12" spans="2:60" ht="18" customHeight="1" x14ac:dyDescent="0.25">
      <c r="B12" s="61">
        <v>3</v>
      </c>
      <c r="C12" s="65"/>
      <c r="D12" s="65"/>
      <c r="E12" s="65"/>
      <c r="F12" s="65"/>
      <c r="G12" s="65"/>
      <c r="H12" s="65"/>
      <c r="I12" s="65"/>
      <c r="J12" s="104"/>
    </row>
    <row r="13" spans="2:60" ht="18" customHeight="1" x14ac:dyDescent="0.25">
      <c r="B13" s="61">
        <v>4</v>
      </c>
      <c r="C13" s="65"/>
      <c r="D13" s="65"/>
      <c r="E13" s="65"/>
      <c r="F13" s="65"/>
      <c r="G13" s="65"/>
      <c r="H13" s="65"/>
      <c r="I13" s="65"/>
      <c r="J13" s="104"/>
    </row>
    <row r="14" spans="2:60" ht="18" customHeight="1" x14ac:dyDescent="0.25">
      <c r="B14" s="61">
        <v>5</v>
      </c>
      <c r="C14" s="65"/>
      <c r="D14" s="65"/>
      <c r="E14" s="65"/>
      <c r="F14" s="65"/>
      <c r="G14" s="65"/>
      <c r="H14" s="65"/>
      <c r="I14" s="65"/>
      <c r="J14" s="104"/>
    </row>
    <row r="15" spans="2:60" ht="18" customHeight="1" x14ac:dyDescent="0.25">
      <c r="B15" s="61">
        <v>6</v>
      </c>
      <c r="C15" s="65"/>
      <c r="D15" s="65"/>
      <c r="E15" s="65"/>
      <c r="F15" s="65"/>
      <c r="G15" s="65"/>
      <c r="H15" s="65"/>
      <c r="I15" s="65"/>
      <c r="J15" s="104"/>
    </row>
    <row r="16" spans="2:60" ht="18" customHeight="1" x14ac:dyDescent="0.25">
      <c r="B16" s="61">
        <v>7</v>
      </c>
      <c r="C16" s="65"/>
      <c r="D16" s="116" t="s">
        <v>2</v>
      </c>
      <c r="E16" s="116" t="s">
        <v>0</v>
      </c>
      <c r="F16" s="116" t="s">
        <v>19</v>
      </c>
      <c r="G16" s="65"/>
      <c r="H16" s="65"/>
      <c r="I16" s="65"/>
      <c r="J16" s="104"/>
    </row>
    <row r="17" spans="2:10" ht="18" customHeight="1" thickBot="1" x14ac:dyDescent="0.3">
      <c r="B17" s="68">
        <v>8</v>
      </c>
      <c r="C17" s="65"/>
      <c r="D17" s="65"/>
      <c r="E17" s="65"/>
      <c r="F17" s="99"/>
      <c r="G17" s="99"/>
      <c r="H17" s="99"/>
      <c r="I17" s="99"/>
      <c r="J17" s="105"/>
    </row>
    <row r="18" spans="2:10" ht="18" customHeight="1" thickBot="1" x14ac:dyDescent="0.3">
      <c r="B18" s="54"/>
      <c r="C18" s="54"/>
      <c r="D18" s="54"/>
      <c r="E18" s="54"/>
      <c r="F18" s="54"/>
      <c r="G18" s="54"/>
      <c r="H18" s="54"/>
      <c r="I18" s="54"/>
      <c r="J18" s="54"/>
    </row>
    <row r="19" spans="2:10" ht="18" customHeight="1" thickBot="1" x14ac:dyDescent="0.3">
      <c r="B19" s="159" t="s">
        <v>38</v>
      </c>
      <c r="C19" s="160"/>
      <c r="D19" s="160"/>
      <c r="E19" s="160"/>
      <c r="F19" s="160"/>
      <c r="G19" s="160"/>
      <c r="H19" s="160"/>
      <c r="I19" s="160"/>
      <c r="J19" s="161"/>
    </row>
    <row r="20" spans="2:10" ht="18" customHeight="1" x14ac:dyDescent="0.25">
      <c r="B20" s="94" t="s">
        <v>0</v>
      </c>
      <c r="C20" s="95" t="s">
        <v>1</v>
      </c>
      <c r="D20" s="95" t="s">
        <v>2</v>
      </c>
      <c r="E20" s="95" t="s">
        <v>3</v>
      </c>
      <c r="F20" s="95" t="s">
        <v>4</v>
      </c>
      <c r="G20" s="95" t="s">
        <v>5</v>
      </c>
      <c r="H20" s="95" t="s">
        <v>6</v>
      </c>
      <c r="I20" s="95" t="s">
        <v>7</v>
      </c>
      <c r="J20" s="96" t="s">
        <v>8</v>
      </c>
    </row>
    <row r="21" spans="2:10" ht="18" customHeight="1" x14ac:dyDescent="0.25">
      <c r="B21" s="97" t="s">
        <v>9</v>
      </c>
      <c r="C21" s="65" t="s">
        <v>10</v>
      </c>
      <c r="D21" s="65" t="s">
        <v>11</v>
      </c>
      <c r="E21" s="65" t="s">
        <v>12</v>
      </c>
      <c r="F21" s="65" t="s">
        <v>13</v>
      </c>
      <c r="G21" s="65" t="s">
        <v>14</v>
      </c>
      <c r="H21" s="65" t="s">
        <v>15</v>
      </c>
      <c r="I21" s="65" t="s">
        <v>16</v>
      </c>
      <c r="J21" s="104" t="s">
        <v>17</v>
      </c>
    </row>
    <row r="22" spans="2:10" ht="18" customHeight="1" thickBot="1" x14ac:dyDescent="0.3">
      <c r="B22" s="98" t="s">
        <v>18</v>
      </c>
      <c r="C22" s="99" t="s">
        <v>19</v>
      </c>
      <c r="D22" s="99" t="s">
        <v>20</v>
      </c>
      <c r="E22" s="99" t="s">
        <v>21</v>
      </c>
      <c r="F22" s="99" t="s">
        <v>22</v>
      </c>
      <c r="G22" s="99" t="s">
        <v>23</v>
      </c>
      <c r="H22" s="99" t="s">
        <v>24</v>
      </c>
      <c r="I22" s="99" t="s">
        <v>25</v>
      </c>
      <c r="J22" s="105"/>
    </row>
    <row r="23" spans="2:10" ht="18" customHeight="1" thickBot="1" x14ac:dyDescent="0.3">
      <c r="B23" s="106">
        <v>1</v>
      </c>
      <c r="C23" s="112" t="s">
        <v>39</v>
      </c>
      <c r="D23" s="112" t="s">
        <v>39</v>
      </c>
      <c r="E23" s="112" t="s">
        <v>39</v>
      </c>
      <c r="F23" s="107"/>
      <c r="G23" s="107"/>
      <c r="H23" s="107"/>
      <c r="I23" s="107"/>
      <c r="J23" s="108"/>
    </row>
    <row r="24" spans="2:10" ht="18" customHeight="1" thickBot="1" x14ac:dyDescent="0.3">
      <c r="B24" s="109">
        <v>2</v>
      </c>
      <c r="C24" s="112" t="s">
        <v>39</v>
      </c>
      <c r="D24" s="112" t="s">
        <v>39</v>
      </c>
      <c r="E24" s="112" t="s">
        <v>39</v>
      </c>
      <c r="F24" s="112" t="s">
        <v>39</v>
      </c>
      <c r="G24" s="110"/>
      <c r="H24" s="110"/>
      <c r="I24" s="110"/>
      <c r="J24" s="111"/>
    </row>
    <row r="25" spans="2:10" ht="18" customHeight="1" thickBot="1" x14ac:dyDescent="0.3">
      <c r="B25" s="109">
        <v>3</v>
      </c>
      <c r="C25" s="112" t="s">
        <v>39</v>
      </c>
      <c r="D25" s="112" t="s">
        <v>39</v>
      </c>
      <c r="E25" s="112" t="s">
        <v>39</v>
      </c>
      <c r="F25" s="112" t="s">
        <v>39</v>
      </c>
      <c r="G25" s="112" t="s">
        <v>39</v>
      </c>
      <c r="H25" s="110"/>
      <c r="I25" s="110"/>
      <c r="J25" s="111"/>
    </row>
    <row r="26" spans="2:10" ht="18" customHeight="1" x14ac:dyDescent="0.25">
      <c r="B26" s="84"/>
      <c r="C26" s="58" t="s">
        <v>0</v>
      </c>
      <c r="D26" s="58" t="s">
        <v>1</v>
      </c>
      <c r="E26" s="58" t="s">
        <v>2</v>
      </c>
      <c r="F26" s="58" t="s">
        <v>3</v>
      </c>
      <c r="G26" s="58" t="s">
        <v>4</v>
      </c>
      <c r="H26" s="58" t="s">
        <v>5</v>
      </c>
      <c r="I26" s="58" t="s">
        <v>6</v>
      </c>
      <c r="J26" s="59" t="s">
        <v>7</v>
      </c>
    </row>
    <row r="27" spans="2:10" ht="18" customHeight="1" x14ac:dyDescent="0.25">
      <c r="B27" s="61">
        <v>1</v>
      </c>
      <c r="C27" s="65"/>
      <c r="D27" s="65"/>
      <c r="E27" s="65"/>
      <c r="F27" s="65"/>
      <c r="G27" s="65"/>
      <c r="H27" s="65"/>
      <c r="I27" s="65"/>
      <c r="J27" s="104"/>
    </row>
    <row r="28" spans="2:10" ht="18" customHeight="1" x14ac:dyDescent="0.25">
      <c r="B28" s="61">
        <v>2</v>
      </c>
      <c r="C28" s="65"/>
      <c r="D28" s="65"/>
      <c r="E28" s="65"/>
      <c r="F28" s="65"/>
      <c r="G28" s="65"/>
      <c r="H28" s="65"/>
      <c r="I28" s="65"/>
      <c r="J28" s="104"/>
    </row>
    <row r="29" spans="2:10" ht="18" customHeight="1" x14ac:dyDescent="0.25">
      <c r="B29" s="61">
        <v>3</v>
      </c>
      <c r="C29" s="65"/>
      <c r="D29" s="65"/>
      <c r="E29" s="65"/>
      <c r="F29" s="65"/>
      <c r="G29" s="65"/>
      <c r="H29" s="65"/>
      <c r="I29" s="65"/>
      <c r="J29" s="104"/>
    </row>
    <row r="30" spans="2:10" ht="18" customHeight="1" x14ac:dyDescent="0.25">
      <c r="B30" s="61">
        <v>4</v>
      </c>
      <c r="C30" s="65"/>
      <c r="D30" s="65"/>
      <c r="E30" s="65"/>
      <c r="F30" s="65"/>
      <c r="G30" s="65"/>
      <c r="H30" s="65"/>
      <c r="I30" s="65"/>
      <c r="J30" s="104"/>
    </row>
    <row r="31" spans="2:10" ht="18" customHeight="1" x14ac:dyDescent="0.25">
      <c r="B31" s="61">
        <v>5</v>
      </c>
      <c r="C31" s="65"/>
      <c r="D31" s="65"/>
      <c r="E31" s="65"/>
      <c r="F31" s="65"/>
      <c r="G31" s="65"/>
      <c r="H31" s="65"/>
      <c r="I31" s="65"/>
      <c r="J31" s="104"/>
    </row>
    <row r="32" spans="2:10" ht="18" customHeight="1" x14ac:dyDescent="0.25">
      <c r="B32" s="61">
        <v>6</v>
      </c>
      <c r="C32" s="65"/>
      <c r="D32" s="65"/>
      <c r="E32" s="65"/>
      <c r="F32" s="65"/>
      <c r="G32" s="65"/>
      <c r="H32" s="65"/>
      <c r="I32" s="65"/>
      <c r="J32" s="104"/>
    </row>
    <row r="33" spans="2:10" ht="18" customHeight="1" x14ac:dyDescent="0.25">
      <c r="B33" s="61">
        <v>7</v>
      </c>
      <c r="C33" s="65"/>
      <c r="D33" s="65"/>
      <c r="E33" s="65"/>
      <c r="F33" s="65"/>
      <c r="G33" s="65"/>
      <c r="H33" s="65"/>
      <c r="I33" s="65"/>
      <c r="J33" s="104"/>
    </row>
    <row r="34" spans="2:10" ht="18" customHeight="1" thickBot="1" x14ac:dyDescent="0.3">
      <c r="B34" s="68">
        <v>8</v>
      </c>
      <c r="C34" s="99"/>
      <c r="D34" s="99"/>
      <c r="E34" s="99"/>
      <c r="F34" s="99"/>
      <c r="G34" s="99"/>
      <c r="H34" s="99"/>
      <c r="I34" s="99"/>
      <c r="J34" s="105"/>
    </row>
  </sheetData>
  <mergeCells count="2">
    <mergeCell ref="B2:J2"/>
    <mergeCell ref="B19:J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Sheet6</vt:lpstr>
      <vt:lpstr>Sheet7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Brandon</dc:creator>
  <cp:lastModifiedBy>Stephen Brandon</cp:lastModifiedBy>
  <dcterms:created xsi:type="dcterms:W3CDTF">2025-11-21T17:25:28Z</dcterms:created>
  <dcterms:modified xsi:type="dcterms:W3CDTF">2025-11-24T17:48:55Z</dcterms:modified>
</cp:coreProperties>
</file>