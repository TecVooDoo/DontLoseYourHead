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\DontLoseYourHead\Documents\"/>
    </mc:Choice>
  </mc:AlternateContent>
  <xr:revisionPtr revIDLastSave="0" documentId="13_ncr:1_{FC290887-AEDA-4916-A119-08B147C035CE}" xr6:coauthVersionLast="47" xr6:coauthVersionMax="47" xr10:uidLastSave="{00000000-0000-0000-0000-000000000000}"/>
  <bookViews>
    <workbookView xWindow="-120" yWindow="-120" windowWidth="29040" windowHeight="15720" activeTab="2" xr2:uid="{2CF4C6FF-296F-4809-A32B-4EAC3125551D}"/>
  </bookViews>
  <sheets>
    <sheet name="claude playtest" sheetId="6" r:id="rId1"/>
    <sheet name="Grid Layouts Concept1" sheetId="8" r:id="rId2"/>
    <sheet name="Setup Menu Concept" sheetId="5" r:id="rId3"/>
    <sheet name="Game Play Screen Concept" sheetId="11" r:id="rId4"/>
    <sheet name="Stacey playtest" sheetId="3" r:id="rId5"/>
    <sheet name="Stacey Playtest expanded layou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6" l="1"/>
  <c r="AN17" i="6"/>
  <c r="AN7" i="6"/>
  <c r="AN6" i="6"/>
  <c r="AN16" i="6"/>
  <c r="AN15" i="6"/>
  <c r="AN5" i="6"/>
  <c r="AN4" i="6"/>
  <c r="W3" i="6" l="1"/>
  <c r="W15" i="6"/>
</calcChain>
</file>

<file path=xl/sharedStrings.xml><?xml version="1.0" encoding="utf-8"?>
<sst xmlns="http://schemas.openxmlformats.org/spreadsheetml/2006/main" count="1995" uniqueCount="110">
  <si>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</si>
  <si>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</si>
  <si>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</si>
  <si>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</si>
  <si>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</si>
  <si>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</si>
  <si>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</si>
  <si>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</si>
  <si>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</si>
  <si>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</si>
  <si>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</si>
  <si>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</si>
  <si>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</si>
  <si>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</si>
  <si>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</si>
  <si>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</si>
  <si>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</si>
  <si>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</si>
  <si>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</si>
  <si>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</si>
  <si>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</si>
  <si>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</si>
  <si>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</si>
  <si>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</si>
  <si>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</si>
  <si>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</si>
  <si>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You</t>
  </si>
  <si>
    <t>_</t>
  </si>
  <si>
    <t>Opponent</t>
  </si>
  <si>
    <t>3 Letter Word</t>
  </si>
  <si>
    <t>4 Letter Word</t>
  </si>
  <si>
    <t>5 Letter Word</t>
  </si>
  <si>
    <t>OWN</t>
  </si>
  <si>
    <t>GOWN</t>
  </si>
  <si>
    <t>CROWN</t>
  </si>
  <si>
    <t>10 MISSES</t>
  </si>
  <si>
    <t>MISSES</t>
  </si>
  <si>
    <t>PLAYER 1</t>
  </si>
  <si>
    <t>PLAYER 2</t>
  </si>
  <si>
    <t>*</t>
  </si>
  <si>
    <t>moan</t>
  </si>
  <si>
    <t>TURN</t>
  </si>
  <si>
    <t>GUESS</t>
  </si>
  <si>
    <t>STATUS</t>
  </si>
  <si>
    <t>HIT</t>
  </si>
  <si>
    <t>TYPE</t>
  </si>
  <si>
    <t>LETTER</t>
  </si>
  <si>
    <t>CLAUDE</t>
  </si>
  <si>
    <t>ME</t>
  </si>
  <si>
    <t>COORDINATE</t>
  </si>
  <si>
    <t>D4</t>
  </si>
  <si>
    <t>MISS</t>
  </si>
  <si>
    <t>PLAYER</t>
  </si>
  <si>
    <t>G6</t>
  </si>
  <si>
    <t>WORD</t>
  </si>
  <si>
    <t>RAT</t>
  </si>
  <si>
    <t>WORD MISS</t>
  </si>
  <si>
    <t>MISSED WORDS</t>
  </si>
  <si>
    <t>B2</t>
  </si>
  <si>
    <t>B6</t>
  </si>
  <si>
    <t>G2</t>
  </si>
  <si>
    <t>My Guessed Letters</t>
  </si>
  <si>
    <t>F7</t>
  </si>
  <si>
    <t>A1</t>
  </si>
  <si>
    <t>C3</t>
  </si>
  <si>
    <t>D3</t>
  </si>
  <si>
    <t>B8</t>
  </si>
  <si>
    <t>B3</t>
  </si>
  <si>
    <t>D2</t>
  </si>
  <si>
    <t>E5</t>
  </si>
  <si>
    <t>F1</t>
  </si>
  <si>
    <t>E6</t>
  </si>
  <si>
    <t>Claude Guessed Letters</t>
  </si>
  <si>
    <t>Move</t>
  </si>
  <si>
    <t>MOVE</t>
  </si>
  <si>
    <t>A4</t>
  </si>
  <si>
    <t>F6</t>
  </si>
  <si>
    <t>END GAME</t>
  </si>
  <si>
    <t>6X6 GRIDS WITH 3 &amp; 4 WORDS</t>
  </si>
  <si>
    <t>8X8 GRIDS WITH 3 &amp; 4 WORDS</t>
  </si>
  <si>
    <t>10X10 GRIDS WITH 3 &amp; 4 WORDS</t>
  </si>
  <si>
    <t>BOB</t>
  </si>
  <si>
    <t>LUCY</t>
  </si>
  <si>
    <t>NAME</t>
  </si>
  <si>
    <t>MORGAN</t>
  </si>
  <si>
    <t>12X12 GRIDS WITH 3 &amp; 4 WORDS</t>
  </si>
  <si>
    <t>SETUP MENUS</t>
  </si>
  <si>
    <t>MISSES: 0</t>
  </si>
  <si>
    <t>MISSES: 11</t>
  </si>
  <si>
    <t>MISSES: 12</t>
  </si>
  <si>
    <t>ROGER</t>
  </si>
  <si>
    <t>MARY</t>
  </si>
  <si>
    <t>1.  _  _  _</t>
  </si>
  <si>
    <t>2.  _  _  _  _</t>
  </si>
  <si>
    <t>3.  _  _  _  _  _</t>
  </si>
  <si>
    <t>4.  _  _  _  _  _  _</t>
  </si>
  <si>
    <t>MISSES: 0/18</t>
  </si>
  <si>
    <t>MISSES: 0/22</t>
  </si>
  <si>
    <r>
      <t xml:space="preserve">1.  </t>
    </r>
    <r>
      <rPr>
        <b/>
        <u/>
        <sz val="16"/>
        <color theme="1"/>
        <rFont val="Aptos Narrow"/>
        <family val="2"/>
        <scheme val="minor"/>
      </rPr>
      <t>C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u/>
        <sz val="16"/>
        <color theme="1"/>
        <rFont val="Aptos Narrow"/>
        <family val="2"/>
        <scheme val="minor"/>
      </rPr>
      <t>A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u/>
        <sz val="16"/>
        <color theme="1"/>
        <rFont val="Aptos Narrow"/>
        <family val="2"/>
        <scheme val="minor"/>
      </rPr>
      <t>T</t>
    </r>
  </si>
  <si>
    <t>rabi</t>
  </si>
  <si>
    <t>rabs</t>
  </si>
  <si>
    <t>race</t>
  </si>
  <si>
    <t>rach</t>
  </si>
  <si>
    <t>rack</t>
  </si>
  <si>
    <t>racy</t>
  </si>
  <si>
    <r>
      <t xml:space="preserve">2.  </t>
    </r>
    <r>
      <rPr>
        <b/>
        <u/>
        <sz val="16"/>
        <color theme="1"/>
        <rFont val="Aptos Narrow"/>
        <family val="2"/>
        <scheme val="minor"/>
      </rPr>
      <t>R A C K</t>
    </r>
  </si>
  <si>
    <t>6x6</t>
  </si>
  <si>
    <t>FORGIVENESS</t>
  </si>
  <si>
    <t>PLAYER NAME</t>
  </si>
  <si>
    <t>PLAYER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</si>
</sst>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Bahnschrift"/>
      <family val="2"/>
    </font>
    <font>
      <sz val="12"/>
      <name val="Bahnschrift"/>
      <family val="2"/>
    </font>
    <font>
      <b/>
      <sz val="12"/>
      <color theme="1"/>
      <name val="Bahnschrift"/>
      <family val="2"/>
    </font>
    <font>
      <sz val="20"/>
      <color theme="1"/>
      <name val="Bahnschrift"/>
      <family val="2"/>
    </font>
    <font>
      <u/>
      <sz val="12"/>
      <color theme="1"/>
      <name val="Bahnschrift"/>
      <family val="2"/>
    </font>
    <font>
      <b/>
      <sz val="11"/>
      <color theme="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/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19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0" borderId="0" xfId="0" applyFont="1"/>
    <xf numFmtId="0" fontId="5" fillId="3" borderId="13" xfId="0" applyFont="1" applyFill="1" applyBorder="1"/>
    <xf numFmtId="0" fontId="5" fillId="3" borderId="14" xfId="0" applyFont="1" applyFill="1" applyBorder="1"/>
    <xf numFmtId="0" fontId="5" fillId="3" borderId="20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3" borderId="0" xfId="0" applyFont="1" applyFill="1"/>
    <xf numFmtId="0" fontId="5" fillId="7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5" xfId="0" applyFont="1" applyFill="1" applyBorder="1"/>
    <xf numFmtId="0" fontId="5" fillId="3" borderId="19" xfId="0" applyFont="1" applyFill="1" applyBorder="1"/>
    <xf numFmtId="0" fontId="5" fillId="3" borderId="26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top"/>
    </xf>
    <xf numFmtId="0" fontId="9" fillId="2" borderId="2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0" fillId="0" borderId="26" xfId="0" applyBorder="1"/>
    <xf numFmtId="0" fontId="1" fillId="6" borderId="2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" fillId="14" borderId="20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3" fillId="14" borderId="2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3" fillId="14" borderId="17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3" borderId="11" xfId="0" applyFont="1" applyFill="1" applyBorder="1"/>
    <xf numFmtId="0" fontId="12" fillId="3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3" borderId="0" xfId="0" applyFont="1" applyFill="1"/>
    <xf numFmtId="0" fontId="12" fillId="2" borderId="6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3" borderId="13" xfId="0" applyFont="1" applyFill="1" applyBorder="1"/>
    <xf numFmtId="0" fontId="12" fillId="3" borderId="14" xfId="0" applyFont="1" applyFill="1" applyBorder="1"/>
    <xf numFmtId="0" fontId="12" fillId="3" borderId="19" xfId="0" applyFont="1" applyFill="1" applyBorder="1"/>
    <xf numFmtId="0" fontId="12" fillId="3" borderId="25" xfId="0" applyFont="1" applyFill="1" applyBorder="1"/>
    <xf numFmtId="0" fontId="12" fillId="3" borderId="26" xfId="0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13" borderId="60" xfId="0" applyFont="1" applyFill="1" applyBorder="1" applyAlignment="1">
      <alignment horizontal="center" vertical="center"/>
    </xf>
    <xf numFmtId="0" fontId="12" fillId="3" borderId="61" xfId="0" applyFont="1" applyFill="1" applyBorder="1" applyAlignment="1">
      <alignment horizontal="center" vertical="center"/>
    </xf>
    <xf numFmtId="0" fontId="12" fillId="3" borderId="60" xfId="0" applyFont="1" applyFill="1" applyBorder="1" applyAlignment="1">
      <alignment horizontal="center" vertical="center"/>
    </xf>
    <xf numFmtId="0" fontId="12" fillId="3" borderId="62" xfId="0" applyFont="1" applyFill="1" applyBorder="1" applyAlignment="1">
      <alignment horizontal="center" vertical="center"/>
    </xf>
    <xf numFmtId="0" fontId="12" fillId="3" borderId="63" xfId="0" applyFont="1" applyFill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2" fillId="3" borderId="59" xfId="0" applyFont="1" applyFill="1" applyBorder="1" applyAlignment="1">
      <alignment horizontal="center" vertical="center"/>
    </xf>
    <xf numFmtId="0" fontId="12" fillId="2" borderId="70" xfId="0" applyFont="1" applyFill="1" applyBorder="1" applyAlignment="1">
      <alignment horizontal="center" vertical="center"/>
    </xf>
    <xf numFmtId="0" fontId="12" fillId="2" borderId="71" xfId="0" applyFont="1" applyFill="1" applyBorder="1" applyAlignment="1">
      <alignment horizontal="center" vertical="center"/>
    </xf>
    <xf numFmtId="0" fontId="12" fillId="2" borderId="72" xfId="0" applyFont="1" applyFill="1" applyBorder="1" applyAlignment="1">
      <alignment horizontal="center" vertical="center"/>
    </xf>
    <xf numFmtId="0" fontId="12" fillId="2" borderId="73" xfId="0" applyFont="1" applyFill="1" applyBorder="1" applyAlignment="1">
      <alignment horizontal="center" vertical="center"/>
    </xf>
    <xf numFmtId="0" fontId="12" fillId="2" borderId="74" xfId="0" applyFont="1" applyFill="1" applyBorder="1" applyAlignment="1">
      <alignment horizontal="center" vertical="center"/>
    </xf>
    <xf numFmtId="0" fontId="12" fillId="2" borderId="75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12" fillId="17" borderId="16" xfId="0" applyFont="1" applyFill="1" applyBorder="1" applyAlignment="1">
      <alignment horizontal="center" vertical="center"/>
    </xf>
    <xf numFmtId="0" fontId="12" fillId="17" borderId="17" xfId="0" applyFont="1" applyFill="1" applyBorder="1" applyAlignment="1">
      <alignment horizontal="center" vertical="center"/>
    </xf>
    <xf numFmtId="0" fontId="12" fillId="17" borderId="18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2" fillId="10" borderId="25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/>
    </xf>
    <xf numFmtId="0" fontId="12" fillId="14" borderId="25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16" borderId="16" xfId="0" applyFont="1" applyFill="1" applyBorder="1" applyAlignment="1">
      <alignment horizontal="center" vertical="center"/>
    </xf>
    <xf numFmtId="0" fontId="12" fillId="16" borderId="17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2" fillId="14" borderId="16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2" fillId="16" borderId="11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9" xfId="0" applyFont="1" applyFill="1" applyBorder="1" applyAlignment="1">
      <alignment horizontal="center" vertical="center"/>
    </xf>
    <xf numFmtId="0" fontId="12" fillId="16" borderId="25" xfId="0" applyFont="1" applyFill="1" applyBorder="1" applyAlignment="1">
      <alignment horizontal="center" vertical="center"/>
    </xf>
    <xf numFmtId="0" fontId="12" fillId="16" borderId="26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12" fillId="4" borderId="76" xfId="0" applyFont="1" applyFill="1" applyBorder="1" applyAlignment="1">
      <alignment horizontal="center" vertical="center"/>
    </xf>
    <xf numFmtId="0" fontId="12" fillId="4" borderId="77" xfId="0" applyFont="1" applyFill="1" applyBorder="1" applyAlignment="1">
      <alignment horizontal="center" vertical="center"/>
    </xf>
    <xf numFmtId="0" fontId="12" fillId="4" borderId="78" xfId="0" applyFont="1" applyFill="1" applyBorder="1" applyAlignment="1">
      <alignment horizontal="center" vertical="center"/>
    </xf>
    <xf numFmtId="0" fontId="12" fillId="2" borderId="68" xfId="0" applyFont="1" applyFill="1" applyBorder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2" fillId="2" borderId="69" xfId="0" applyFont="1" applyFill="1" applyBorder="1" applyAlignment="1">
      <alignment horizontal="left" vertical="center" indent="1"/>
    </xf>
    <xf numFmtId="0" fontId="12" fillId="2" borderId="65" xfId="0" applyFont="1" applyFill="1" applyBorder="1" applyAlignment="1">
      <alignment horizontal="left" vertical="center" indent="1"/>
    </xf>
    <xf numFmtId="0" fontId="12" fillId="2" borderId="66" xfId="0" applyFont="1" applyFill="1" applyBorder="1" applyAlignment="1">
      <alignment horizontal="left" vertical="center" indent="1"/>
    </xf>
    <xf numFmtId="0" fontId="12" fillId="2" borderId="67" xfId="0" applyFont="1" applyFill="1" applyBorder="1" applyAlignment="1">
      <alignment horizontal="left" vertical="center" indent="1"/>
    </xf>
    <xf numFmtId="0" fontId="12" fillId="18" borderId="65" xfId="0" applyFont="1" applyFill="1" applyBorder="1" applyAlignment="1">
      <alignment horizontal="center" vertical="center"/>
    </xf>
    <xf numFmtId="0" fontId="12" fillId="18" borderId="66" xfId="0" applyFont="1" applyFill="1" applyBorder="1" applyAlignment="1">
      <alignment horizontal="center" vertical="center"/>
    </xf>
    <xf numFmtId="0" fontId="12" fillId="18" borderId="67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15" fillId="18" borderId="11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25" xfId="0" applyFont="1" applyFill="1" applyBorder="1" applyAlignment="1">
      <alignment horizontal="center" vertical="center"/>
    </xf>
    <xf numFmtId="0" fontId="15" fillId="18" borderId="26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18" borderId="16" xfId="0" applyFont="1" applyFill="1" applyBorder="1" applyAlignment="1">
      <alignment horizontal="center" vertical="center"/>
    </xf>
    <xf numFmtId="0" fontId="12" fillId="18" borderId="17" xfId="0" applyFont="1" applyFill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12" fillId="13" borderId="65" xfId="0" applyFont="1" applyFill="1" applyBorder="1" applyAlignment="1">
      <alignment horizontal="center" vertical="center"/>
    </xf>
    <xf numFmtId="0" fontId="12" fillId="13" borderId="66" xfId="0" applyFont="1" applyFill="1" applyBorder="1" applyAlignment="1">
      <alignment horizontal="center" vertical="center"/>
    </xf>
    <xf numFmtId="0" fontId="12" fillId="13" borderId="67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16" fillId="2" borderId="68" xfId="0" applyFont="1" applyFill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16" fillId="2" borderId="69" xfId="0" applyFont="1" applyFill="1" applyBorder="1" applyAlignment="1">
      <alignment horizontal="left" vertical="center" indent="1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  <color rgb="FF33CCCC"/>
      <color rgb="FF90F9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svg"/><Relationship Id="rId13" Type="http://schemas.openxmlformats.org/officeDocument/2006/relationships/image" Target="../media/image21.png"/><Relationship Id="rId18" Type="http://schemas.openxmlformats.org/officeDocument/2006/relationships/image" Target="../media/image24.emf"/><Relationship Id="rId26" Type="http://schemas.openxmlformats.org/officeDocument/2006/relationships/image" Target="../media/image30.emf"/><Relationship Id="rId39" Type="http://schemas.openxmlformats.org/officeDocument/2006/relationships/image" Target="../media/image42.emf"/><Relationship Id="rId3" Type="http://schemas.openxmlformats.org/officeDocument/2006/relationships/image" Target="../media/image10.png"/><Relationship Id="rId21" Type="http://schemas.openxmlformats.org/officeDocument/2006/relationships/image" Target="../media/image27.emf"/><Relationship Id="rId34" Type="http://schemas.openxmlformats.org/officeDocument/2006/relationships/image" Target="../media/image38.sv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23.png"/><Relationship Id="rId25" Type="http://schemas.openxmlformats.org/officeDocument/2006/relationships/image" Target="../media/image29.emf"/><Relationship Id="rId33" Type="http://schemas.openxmlformats.org/officeDocument/2006/relationships/image" Target="../media/image37.svg"/><Relationship Id="rId38" Type="http://schemas.openxmlformats.org/officeDocument/2006/relationships/image" Target="../media/image41.emf"/><Relationship Id="rId46" Type="http://schemas.openxmlformats.org/officeDocument/2006/relationships/image" Target="../media/image49.svg"/><Relationship Id="rId2" Type="http://schemas.openxmlformats.org/officeDocument/2006/relationships/customXml" Target="../ink/ink1.xml"/><Relationship Id="rId16" Type="http://schemas.openxmlformats.org/officeDocument/2006/relationships/image" Target="../media/image8.svg"/><Relationship Id="rId20" Type="http://schemas.openxmlformats.org/officeDocument/2006/relationships/image" Target="../media/image26.png"/><Relationship Id="rId29" Type="http://schemas.openxmlformats.org/officeDocument/2006/relationships/image" Target="../media/image33.emf"/><Relationship Id="rId41" Type="http://schemas.openxmlformats.org/officeDocument/2006/relationships/image" Target="../media/image44.emf"/><Relationship Id="rId1" Type="http://schemas.openxmlformats.org/officeDocument/2006/relationships/image" Target="../media/image17.emf"/><Relationship Id="rId6" Type="http://schemas.openxmlformats.org/officeDocument/2006/relationships/image" Target="../media/image19.svg"/><Relationship Id="rId11" Type="http://schemas.openxmlformats.org/officeDocument/2006/relationships/image" Target="../media/image5.png"/><Relationship Id="rId24" Type="http://schemas.openxmlformats.org/officeDocument/2006/relationships/image" Target="../media/image28.emf"/><Relationship Id="rId32" Type="http://schemas.openxmlformats.org/officeDocument/2006/relationships/image" Target="../media/image36.png"/><Relationship Id="rId37" Type="http://schemas.openxmlformats.org/officeDocument/2006/relationships/image" Target="../media/image40.emf"/><Relationship Id="rId40" Type="http://schemas.openxmlformats.org/officeDocument/2006/relationships/image" Target="../media/image43.emf"/><Relationship Id="rId45" Type="http://schemas.openxmlformats.org/officeDocument/2006/relationships/image" Target="../media/image48.png"/><Relationship Id="rId5" Type="http://schemas.openxmlformats.org/officeDocument/2006/relationships/image" Target="../media/image18.png"/><Relationship Id="rId15" Type="http://schemas.openxmlformats.org/officeDocument/2006/relationships/image" Target="../media/image7.png"/><Relationship Id="rId23" Type="http://schemas.openxmlformats.org/officeDocument/2006/relationships/image" Target="../media/image14.svg"/><Relationship Id="rId28" Type="http://schemas.openxmlformats.org/officeDocument/2006/relationships/image" Target="../media/image32.emf"/><Relationship Id="rId36" Type="http://schemas.openxmlformats.org/officeDocument/2006/relationships/image" Target="../media/image39.emf"/><Relationship Id="rId10" Type="http://schemas.openxmlformats.org/officeDocument/2006/relationships/image" Target="../media/image10.svg"/><Relationship Id="rId19" Type="http://schemas.openxmlformats.org/officeDocument/2006/relationships/image" Target="../media/image25.emf"/><Relationship Id="rId31" Type="http://schemas.openxmlformats.org/officeDocument/2006/relationships/image" Target="../media/image35.svg"/><Relationship Id="rId44" Type="http://schemas.openxmlformats.org/officeDocument/2006/relationships/image" Target="../media/image47.emf"/><Relationship Id="rId4" Type="http://schemas.openxmlformats.org/officeDocument/2006/relationships/customXml" Target="../ink/ink2.xml"/><Relationship Id="rId9" Type="http://schemas.openxmlformats.org/officeDocument/2006/relationships/image" Target="../media/image9.png"/><Relationship Id="rId14" Type="http://schemas.openxmlformats.org/officeDocument/2006/relationships/image" Target="../media/image22.svg"/><Relationship Id="rId22" Type="http://schemas.openxmlformats.org/officeDocument/2006/relationships/image" Target="../media/image13.png"/><Relationship Id="rId27" Type="http://schemas.openxmlformats.org/officeDocument/2006/relationships/image" Target="../media/image31.emf"/><Relationship Id="rId30" Type="http://schemas.openxmlformats.org/officeDocument/2006/relationships/image" Target="../media/image34.emf"/><Relationship Id="rId35" Type="http://schemas.openxmlformats.org/officeDocument/2006/relationships/image" Target="../media/image2.svg"/><Relationship Id="rId43" Type="http://schemas.openxmlformats.org/officeDocument/2006/relationships/image" Target="../media/image46.svg"/><Relationship Id="rId48" Type="http://schemas.openxmlformats.org/officeDocument/2006/relationships/image" Target="../media/image5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3.emf"/><Relationship Id="rId1" Type="http://schemas.openxmlformats.org/officeDocument/2006/relationships/image" Target="../media/image52.emf"/><Relationship Id="rId4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34638</xdr:colOff>
      <xdr:row>9</xdr:row>
      <xdr:rowOff>29668</xdr:rowOff>
    </xdr:from>
    <xdr:to>
      <xdr:col>1</xdr:col>
      <xdr:colOff>288877</xdr:colOff>
      <xdr:row>9</xdr:row>
      <xdr:rowOff>281102</xdr:rowOff>
    </xdr:to>
    <xdr:pic>
      <xdr:nvPicPr>
        <xdr:cNvPr id="3" name="Graphic 6" descr="Map compass with solid fill">
          <a:extLst>
            <a:ext uri="{FF2B5EF4-FFF2-40B4-BE49-F238E27FC236}">
              <a16:creationId xmlns:a16="http://schemas.microsoft.com/office/drawing/2014/main" id="{7E00EA89-A640-4E33-A3C3-DC27D7B6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31456" y="3268168"/>
          <a:ext cx="254239" cy="251434"/>
        </a:xfrm>
        <a:prstGeom prst="rect">
          <a:avLst/>
        </a:prstGeom>
      </xdr:spPr>
    </xdr:pic>
    <xdr:clientData/>
  </xdr:twoCellAnchor>
  <xdr:twoCellAnchor>
    <xdr:from>
      <xdr:col>8</xdr:col>
      <xdr:colOff>17319</xdr:colOff>
      <xdr:row>6</xdr:row>
      <xdr:rowOff>6270</xdr:rowOff>
    </xdr:from>
    <xdr:to>
      <xdr:col>11</xdr:col>
      <xdr:colOff>11991</xdr:colOff>
      <xdr:row>6</xdr:row>
      <xdr:rowOff>252783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4BCC7F4-8189-11FA-79F3-3CFD3553C54B}"/>
            </a:ext>
          </a:extLst>
        </xdr:cNvPr>
        <xdr:cNvGrpSpPr/>
      </xdr:nvGrpSpPr>
      <xdr:grpSpPr>
        <a:xfrm>
          <a:off x="2531919" y="2063670"/>
          <a:ext cx="1023372" cy="246513"/>
          <a:chOff x="28280592" y="2361543"/>
          <a:chExt cx="877899" cy="246513"/>
        </a:xfrm>
      </xdr:grpSpPr>
      <xdr:pic>
        <xdr:nvPicPr>
          <xdr:cNvPr id="18" name="Graphic 17" descr="Add with solid fill">
            <a:extLst>
              <a:ext uri="{FF2B5EF4-FFF2-40B4-BE49-F238E27FC236}">
                <a16:creationId xmlns:a16="http://schemas.microsoft.com/office/drawing/2014/main" id="{D393FE1B-4C3F-8BD7-3A10-677628BC86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22" name="Graphic 21" descr="Close with solid fill">
            <a:extLst>
              <a:ext uri="{FF2B5EF4-FFF2-40B4-BE49-F238E27FC236}">
                <a16:creationId xmlns:a16="http://schemas.microsoft.com/office/drawing/2014/main" id="{5D5DA548-A214-4C79-C3FD-A51FD1E593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25" name="Graphic 6" descr="Map compass with solid fill">
            <a:extLst>
              <a:ext uri="{FF2B5EF4-FFF2-40B4-BE49-F238E27FC236}">
                <a16:creationId xmlns:a16="http://schemas.microsoft.com/office/drawing/2014/main" id="{DBA5DB39-8128-1E2C-DD68-607B90E927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13856</xdr:colOff>
      <xdr:row>5</xdr:row>
      <xdr:rowOff>2806</xdr:rowOff>
    </xdr:from>
    <xdr:to>
      <xdr:col>11</xdr:col>
      <xdr:colOff>8528</xdr:colOff>
      <xdr:row>5</xdr:row>
      <xdr:rowOff>249319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5C595F6-D239-BDF0-F6BA-81F769E1EA45}"/>
            </a:ext>
          </a:extLst>
        </xdr:cNvPr>
        <xdr:cNvGrpSpPr/>
      </xdr:nvGrpSpPr>
      <xdr:grpSpPr>
        <a:xfrm>
          <a:off x="2528456" y="1717306"/>
          <a:ext cx="1023372" cy="246513"/>
          <a:chOff x="28280592" y="2361543"/>
          <a:chExt cx="877899" cy="246513"/>
        </a:xfrm>
      </xdr:grpSpPr>
      <xdr:pic>
        <xdr:nvPicPr>
          <xdr:cNvPr id="29" name="Graphic 28" descr="Add with solid fill">
            <a:extLst>
              <a:ext uri="{FF2B5EF4-FFF2-40B4-BE49-F238E27FC236}">
                <a16:creationId xmlns:a16="http://schemas.microsoft.com/office/drawing/2014/main" id="{A7D24EDB-B801-370A-D7E2-FA579238B5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30" name="Graphic 29" descr="Close with solid fill">
            <a:extLst>
              <a:ext uri="{FF2B5EF4-FFF2-40B4-BE49-F238E27FC236}">
                <a16:creationId xmlns:a16="http://schemas.microsoft.com/office/drawing/2014/main" id="{99FFA290-0C20-74CD-184E-ECE8E730DD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31" name="Graphic 6" descr="Map compass with solid fill">
            <a:extLst>
              <a:ext uri="{FF2B5EF4-FFF2-40B4-BE49-F238E27FC236}">
                <a16:creationId xmlns:a16="http://schemas.microsoft.com/office/drawing/2014/main" id="{E578B777-EAFE-AA42-EDC0-50334DCCFC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10393</xdr:colOff>
      <xdr:row>4</xdr:row>
      <xdr:rowOff>7135</xdr:rowOff>
    </xdr:from>
    <xdr:to>
      <xdr:col>11</xdr:col>
      <xdr:colOff>5065</xdr:colOff>
      <xdr:row>4</xdr:row>
      <xdr:rowOff>263173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15BDFD1-BCF2-0BB6-1F85-F776970ED605}"/>
            </a:ext>
          </a:extLst>
        </xdr:cNvPr>
        <xdr:cNvGrpSpPr/>
      </xdr:nvGrpSpPr>
      <xdr:grpSpPr>
        <a:xfrm>
          <a:off x="2524993" y="1378735"/>
          <a:ext cx="1023372" cy="256038"/>
          <a:chOff x="28280592" y="2361543"/>
          <a:chExt cx="877899" cy="246513"/>
        </a:xfrm>
      </xdr:grpSpPr>
      <xdr:pic>
        <xdr:nvPicPr>
          <xdr:cNvPr id="33" name="Graphic 32" descr="Add with solid fill">
            <a:extLst>
              <a:ext uri="{FF2B5EF4-FFF2-40B4-BE49-F238E27FC236}">
                <a16:creationId xmlns:a16="http://schemas.microsoft.com/office/drawing/2014/main" id="{1F855D3F-ECBF-4C4C-F4D4-A8F54EEA94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34" name="Graphic 33" descr="Close with solid fill">
            <a:extLst>
              <a:ext uri="{FF2B5EF4-FFF2-40B4-BE49-F238E27FC236}">
                <a16:creationId xmlns:a16="http://schemas.microsoft.com/office/drawing/2014/main" id="{96563483-72B0-AB99-596D-C33F16D9A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35" name="Graphic 6" descr="Map compass with solid fill">
            <a:extLst>
              <a:ext uri="{FF2B5EF4-FFF2-40B4-BE49-F238E27FC236}">
                <a16:creationId xmlns:a16="http://schemas.microsoft.com/office/drawing/2014/main" id="{200DBB8C-FB30-8ACF-4C4E-B1BC8482CF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24248</xdr:colOff>
      <xdr:row>3</xdr:row>
      <xdr:rowOff>11465</xdr:rowOff>
    </xdr:from>
    <xdr:to>
      <xdr:col>11</xdr:col>
      <xdr:colOff>18920</xdr:colOff>
      <xdr:row>3</xdr:row>
      <xdr:rowOff>267503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8ED75E6-494C-E359-9FFB-583E1A59A236}"/>
            </a:ext>
          </a:extLst>
        </xdr:cNvPr>
        <xdr:cNvGrpSpPr/>
      </xdr:nvGrpSpPr>
      <xdr:grpSpPr>
        <a:xfrm>
          <a:off x="2538848" y="1040165"/>
          <a:ext cx="1023372" cy="256038"/>
          <a:chOff x="28280592" y="2361543"/>
          <a:chExt cx="877899" cy="246513"/>
        </a:xfrm>
      </xdr:grpSpPr>
      <xdr:pic>
        <xdr:nvPicPr>
          <xdr:cNvPr id="37" name="Graphic 36" descr="Add with solid fill">
            <a:extLst>
              <a:ext uri="{FF2B5EF4-FFF2-40B4-BE49-F238E27FC236}">
                <a16:creationId xmlns:a16="http://schemas.microsoft.com/office/drawing/2014/main" id="{E58D85D0-9A0F-2860-3E9A-B1FB2D648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38" name="Graphic 37" descr="Close with solid fill">
            <a:extLst>
              <a:ext uri="{FF2B5EF4-FFF2-40B4-BE49-F238E27FC236}">
                <a16:creationId xmlns:a16="http://schemas.microsoft.com/office/drawing/2014/main" id="{398C53FD-F97E-4DC3-45D8-D037B19EBC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39" name="Graphic 6" descr="Map compass with solid fill">
            <a:extLst>
              <a:ext uri="{FF2B5EF4-FFF2-40B4-BE49-F238E27FC236}">
                <a16:creationId xmlns:a16="http://schemas.microsoft.com/office/drawing/2014/main" id="{6D0C3490-A9CF-91FC-4B0A-BF6255F79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277092</xdr:colOff>
      <xdr:row>10</xdr:row>
      <xdr:rowOff>288817</xdr:rowOff>
    </xdr:from>
    <xdr:to>
      <xdr:col>4</xdr:col>
      <xdr:colOff>266161</xdr:colOff>
      <xdr:row>12</xdr:row>
      <xdr:rowOff>266990</xdr:rowOff>
    </xdr:to>
    <xdr:pic>
      <xdr:nvPicPr>
        <xdr:cNvPr id="43" name="Graphic 42" descr="Cursor with solid fill">
          <a:extLst>
            <a:ext uri="{FF2B5EF4-FFF2-40B4-BE49-F238E27FC236}">
              <a16:creationId xmlns:a16="http://schemas.microsoft.com/office/drawing/2014/main" id="{90F32AE8-E481-0678-C029-230D657C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068319" y="3821726"/>
          <a:ext cx="710045" cy="702649"/>
        </a:xfrm>
        <a:prstGeom prst="rect">
          <a:avLst/>
        </a:prstGeom>
      </xdr:spPr>
    </xdr:pic>
    <xdr:clientData/>
  </xdr:twoCellAnchor>
  <xdr:twoCellAnchor editAs="oneCell">
    <xdr:from>
      <xdr:col>12</xdr:col>
      <xdr:colOff>229461</xdr:colOff>
      <xdr:row>2</xdr:row>
      <xdr:rowOff>0</xdr:rowOff>
    </xdr:from>
    <xdr:to>
      <xdr:col>13</xdr:col>
      <xdr:colOff>188414</xdr:colOff>
      <xdr:row>2</xdr:row>
      <xdr:rowOff>295131</xdr:rowOff>
    </xdr:to>
    <xdr:pic>
      <xdr:nvPicPr>
        <xdr:cNvPr id="45" name="Graphic 44" descr="Large paint brush with solid fill">
          <a:extLst>
            <a:ext uri="{FF2B5EF4-FFF2-40B4-BE49-F238E27FC236}">
              <a16:creationId xmlns:a16="http://schemas.microsoft.com/office/drawing/2014/main" id="{3EC8DEC1-B96D-2363-0C1B-C07021F5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670370" y="1160318"/>
          <a:ext cx="311727" cy="311727"/>
        </a:xfrm>
        <a:prstGeom prst="rect">
          <a:avLst/>
        </a:prstGeom>
      </xdr:spPr>
    </xdr:pic>
    <xdr:clientData/>
  </xdr:twoCellAnchor>
  <xdr:twoCellAnchor>
    <xdr:from>
      <xdr:col>1</xdr:col>
      <xdr:colOff>34638</xdr:colOff>
      <xdr:row>30</xdr:row>
      <xdr:rowOff>29668</xdr:rowOff>
    </xdr:from>
    <xdr:to>
      <xdr:col>1</xdr:col>
      <xdr:colOff>288877</xdr:colOff>
      <xdr:row>30</xdr:row>
      <xdr:rowOff>281102</xdr:rowOff>
    </xdr:to>
    <xdr:pic>
      <xdr:nvPicPr>
        <xdr:cNvPr id="46" name="Graphic 6" descr="Map compass with solid fill">
          <a:extLst>
            <a:ext uri="{FF2B5EF4-FFF2-40B4-BE49-F238E27FC236}">
              <a16:creationId xmlns:a16="http://schemas.microsoft.com/office/drawing/2014/main" id="{3B6791FF-6733-484A-BE65-7761D78E1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31456" y="3268168"/>
          <a:ext cx="254239" cy="251434"/>
        </a:xfrm>
        <a:prstGeom prst="rect">
          <a:avLst/>
        </a:prstGeom>
      </xdr:spPr>
    </xdr:pic>
    <xdr:clientData/>
  </xdr:twoCellAnchor>
  <xdr:twoCellAnchor>
    <xdr:from>
      <xdr:col>8</xdr:col>
      <xdr:colOff>17319</xdr:colOff>
      <xdr:row>27</xdr:row>
      <xdr:rowOff>6270</xdr:rowOff>
    </xdr:from>
    <xdr:to>
      <xdr:col>11</xdr:col>
      <xdr:colOff>11991</xdr:colOff>
      <xdr:row>27</xdr:row>
      <xdr:rowOff>252783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524FF77-FA98-4EB2-84C9-38B7FCE093A8}"/>
            </a:ext>
          </a:extLst>
        </xdr:cNvPr>
        <xdr:cNvGrpSpPr/>
      </xdr:nvGrpSpPr>
      <xdr:grpSpPr>
        <a:xfrm>
          <a:off x="2531919" y="9264570"/>
          <a:ext cx="1023372" cy="246513"/>
          <a:chOff x="28280592" y="2361543"/>
          <a:chExt cx="877899" cy="246513"/>
        </a:xfrm>
      </xdr:grpSpPr>
      <xdr:pic>
        <xdr:nvPicPr>
          <xdr:cNvPr id="48" name="Graphic 47" descr="Add with solid fill">
            <a:extLst>
              <a:ext uri="{FF2B5EF4-FFF2-40B4-BE49-F238E27FC236}">
                <a16:creationId xmlns:a16="http://schemas.microsoft.com/office/drawing/2014/main" id="{66717513-85C3-7A27-A285-8A33AC3CDD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49" name="Graphic 48" descr="Close with solid fill">
            <a:extLst>
              <a:ext uri="{FF2B5EF4-FFF2-40B4-BE49-F238E27FC236}">
                <a16:creationId xmlns:a16="http://schemas.microsoft.com/office/drawing/2014/main" id="{336B120A-3A5F-5649-9864-292BCD94AE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50" name="Graphic 6" descr="Map compass with solid fill">
            <a:extLst>
              <a:ext uri="{FF2B5EF4-FFF2-40B4-BE49-F238E27FC236}">
                <a16:creationId xmlns:a16="http://schemas.microsoft.com/office/drawing/2014/main" id="{70C4FB9C-1BBB-1F89-24F4-ED3869D4BC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13856</xdr:colOff>
      <xdr:row>26</xdr:row>
      <xdr:rowOff>2806</xdr:rowOff>
    </xdr:from>
    <xdr:to>
      <xdr:col>11</xdr:col>
      <xdr:colOff>8528</xdr:colOff>
      <xdr:row>26</xdr:row>
      <xdr:rowOff>249319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0F9DE55-F0FA-4296-A0A3-6F3CAB2E9A73}"/>
            </a:ext>
          </a:extLst>
        </xdr:cNvPr>
        <xdr:cNvGrpSpPr/>
      </xdr:nvGrpSpPr>
      <xdr:grpSpPr>
        <a:xfrm>
          <a:off x="2528456" y="8918206"/>
          <a:ext cx="1023372" cy="246513"/>
          <a:chOff x="28280592" y="2361543"/>
          <a:chExt cx="877899" cy="246513"/>
        </a:xfrm>
      </xdr:grpSpPr>
      <xdr:pic>
        <xdr:nvPicPr>
          <xdr:cNvPr id="52" name="Graphic 51" descr="Add with solid fill">
            <a:extLst>
              <a:ext uri="{FF2B5EF4-FFF2-40B4-BE49-F238E27FC236}">
                <a16:creationId xmlns:a16="http://schemas.microsoft.com/office/drawing/2014/main" id="{52E8753D-63BC-3995-04AC-D30F38CB41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53" name="Graphic 52" descr="Close with solid fill">
            <a:extLst>
              <a:ext uri="{FF2B5EF4-FFF2-40B4-BE49-F238E27FC236}">
                <a16:creationId xmlns:a16="http://schemas.microsoft.com/office/drawing/2014/main" id="{B34A04A7-543B-7869-D796-98225FFD68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54" name="Graphic 6" descr="Map compass with solid fill">
            <a:extLst>
              <a:ext uri="{FF2B5EF4-FFF2-40B4-BE49-F238E27FC236}">
                <a16:creationId xmlns:a16="http://schemas.microsoft.com/office/drawing/2014/main" id="{6BBFC7F1-7480-2EFD-EE72-620A320327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10393</xdr:colOff>
      <xdr:row>25</xdr:row>
      <xdr:rowOff>7135</xdr:rowOff>
    </xdr:from>
    <xdr:to>
      <xdr:col>11</xdr:col>
      <xdr:colOff>5065</xdr:colOff>
      <xdr:row>25</xdr:row>
      <xdr:rowOff>263173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AA6184B3-2BC7-4148-A478-7B62285FB483}"/>
            </a:ext>
          </a:extLst>
        </xdr:cNvPr>
        <xdr:cNvGrpSpPr/>
      </xdr:nvGrpSpPr>
      <xdr:grpSpPr>
        <a:xfrm>
          <a:off x="2524993" y="8579635"/>
          <a:ext cx="1023372" cy="256038"/>
          <a:chOff x="28280592" y="2361543"/>
          <a:chExt cx="877899" cy="246513"/>
        </a:xfrm>
      </xdr:grpSpPr>
      <xdr:pic>
        <xdr:nvPicPr>
          <xdr:cNvPr id="56" name="Graphic 55" descr="Add with solid fill">
            <a:extLst>
              <a:ext uri="{FF2B5EF4-FFF2-40B4-BE49-F238E27FC236}">
                <a16:creationId xmlns:a16="http://schemas.microsoft.com/office/drawing/2014/main" id="{C244A66B-6742-A4F2-EBB3-BA59AF3FB2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57" name="Graphic 56" descr="Close with solid fill">
            <a:extLst>
              <a:ext uri="{FF2B5EF4-FFF2-40B4-BE49-F238E27FC236}">
                <a16:creationId xmlns:a16="http://schemas.microsoft.com/office/drawing/2014/main" id="{447A70C7-C95E-36BF-5E15-471C0EBEF7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58" name="Graphic 6" descr="Map compass with solid fill">
            <a:extLst>
              <a:ext uri="{FF2B5EF4-FFF2-40B4-BE49-F238E27FC236}">
                <a16:creationId xmlns:a16="http://schemas.microsoft.com/office/drawing/2014/main" id="{A9B46160-EE2B-6382-7798-6939AA6D8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24248</xdr:colOff>
      <xdr:row>24</xdr:row>
      <xdr:rowOff>11465</xdr:rowOff>
    </xdr:from>
    <xdr:to>
      <xdr:col>11</xdr:col>
      <xdr:colOff>18920</xdr:colOff>
      <xdr:row>24</xdr:row>
      <xdr:rowOff>267503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3244D1A-B29D-4692-9D64-397A6F03FF42}"/>
            </a:ext>
          </a:extLst>
        </xdr:cNvPr>
        <xdr:cNvGrpSpPr/>
      </xdr:nvGrpSpPr>
      <xdr:grpSpPr>
        <a:xfrm>
          <a:off x="2538848" y="8241065"/>
          <a:ext cx="1023372" cy="256038"/>
          <a:chOff x="28280592" y="2361543"/>
          <a:chExt cx="877899" cy="246513"/>
        </a:xfrm>
      </xdr:grpSpPr>
      <xdr:pic>
        <xdr:nvPicPr>
          <xdr:cNvPr id="60" name="Graphic 59" descr="Add with solid fill">
            <a:extLst>
              <a:ext uri="{FF2B5EF4-FFF2-40B4-BE49-F238E27FC236}">
                <a16:creationId xmlns:a16="http://schemas.microsoft.com/office/drawing/2014/main" id="{678D2031-2F76-4274-56C2-C79151242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61" name="Graphic 60" descr="Close with solid fill">
            <a:extLst>
              <a:ext uri="{FF2B5EF4-FFF2-40B4-BE49-F238E27FC236}">
                <a16:creationId xmlns:a16="http://schemas.microsoft.com/office/drawing/2014/main" id="{CAF331A0-D856-E868-A035-E8478C7A3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62" name="Graphic 6" descr="Map compass with solid fill">
            <a:extLst>
              <a:ext uri="{FF2B5EF4-FFF2-40B4-BE49-F238E27FC236}">
                <a16:creationId xmlns:a16="http://schemas.microsoft.com/office/drawing/2014/main" id="{5E322D53-16AC-F77C-5923-9F441BDAA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oneCellAnchor>
    <xdr:from>
      <xdr:col>3</xdr:col>
      <xdr:colOff>2</xdr:colOff>
      <xdr:row>33</xdr:row>
      <xdr:rowOff>11728</xdr:rowOff>
    </xdr:from>
    <xdr:ext cx="710045" cy="702649"/>
    <xdr:pic>
      <xdr:nvPicPr>
        <xdr:cNvPr id="63" name="Graphic 62" descr="Cursor with solid fill">
          <a:extLst>
            <a:ext uri="{FF2B5EF4-FFF2-40B4-BE49-F238E27FC236}">
              <a16:creationId xmlns:a16="http://schemas.microsoft.com/office/drawing/2014/main" id="{35851714-BCBB-496F-B618-8903E90F5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085638" y="9727228"/>
          <a:ext cx="710045" cy="702649"/>
        </a:xfrm>
        <a:prstGeom prst="rect">
          <a:avLst/>
        </a:prstGeom>
      </xdr:spPr>
    </xdr:pic>
    <xdr:clientData/>
  </xdr:oneCellAnchor>
  <xdr:oneCellAnchor>
    <xdr:from>
      <xdr:col>12</xdr:col>
      <xdr:colOff>229461</xdr:colOff>
      <xdr:row>23</xdr:row>
      <xdr:rowOff>0</xdr:rowOff>
    </xdr:from>
    <xdr:ext cx="311727" cy="311727"/>
    <xdr:pic>
      <xdr:nvPicPr>
        <xdr:cNvPr id="64" name="Graphic 63" descr="Large paint brush with solid fill">
          <a:extLst>
            <a:ext uri="{FF2B5EF4-FFF2-40B4-BE49-F238E27FC236}">
              <a16:creationId xmlns:a16="http://schemas.microsoft.com/office/drawing/2014/main" id="{34D97BD7-BB81-47E0-AAC4-25C9DACC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670370" y="1160318"/>
          <a:ext cx="311727" cy="31172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123825</xdr:rowOff>
    </xdr:from>
    <xdr:to>
      <xdr:col>23</xdr:col>
      <xdr:colOff>19050</xdr:colOff>
      <xdr:row>18</xdr:row>
      <xdr:rowOff>133350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E241424-8FA3-3BA8-44A7-F2169D44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361950"/>
          <a:ext cx="2152650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180705</xdr:colOff>
      <xdr:row>13</xdr:row>
      <xdr:rowOff>85575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14:cNvPr>
            <xdr14:cNvContentPartPr/>
          </xdr14:nvContentPartPr>
          <xdr14:nvPr macro=""/>
          <xdr14:xfrm>
            <a:off x="4628880" y="196200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AA475C-02E1-2180-0BA9-B64FF8A337B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22760" y="1955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180705</xdr:colOff>
      <xdr:row>30</xdr:row>
      <xdr:rowOff>85575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14:cNvPr>
            <xdr14:cNvContentPartPr/>
          </xdr14:nvContentPartPr>
          <xdr14:nvPr macro=""/>
          <xdr14:xfrm>
            <a:off x="4628880" y="196200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AA475C-02E1-2180-0BA9-B64FF8A337B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22760" y="1955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59</xdr:col>
      <xdr:colOff>118782</xdr:colOff>
      <xdr:row>4</xdr:row>
      <xdr:rowOff>80122</xdr:rowOff>
    </xdr:from>
    <xdr:to>
      <xdr:col>73</xdr:col>
      <xdr:colOff>163606</xdr:colOff>
      <xdr:row>19</xdr:row>
      <xdr:rowOff>80122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606182" y="765922"/>
          <a:ext cx="3245224" cy="3429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115419</xdr:colOff>
      <xdr:row>14</xdr:row>
      <xdr:rowOff>174810</xdr:rowOff>
    </xdr:from>
    <xdr:to>
      <xdr:col>71</xdr:col>
      <xdr:colOff>133349</xdr:colOff>
      <xdr:row>18</xdr:row>
      <xdr:rowOff>192739</xdr:rowOff>
    </xdr:to>
    <xdr:pic>
      <xdr:nvPicPr>
        <xdr:cNvPr id="9" name="Graphic 8" descr="Right pointing backhand index with solid fill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6200000">
          <a:off x="15431619" y="3146610"/>
          <a:ext cx="932329" cy="93233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8</xdr:row>
      <xdr:rowOff>216215</xdr:rowOff>
    </xdr:from>
    <xdr:to>
      <xdr:col>2</xdr:col>
      <xdr:colOff>21156</xdr:colOff>
      <xdr:row>10</xdr:row>
      <xdr:rowOff>13254</xdr:rowOff>
    </xdr:to>
    <xdr:pic>
      <xdr:nvPicPr>
        <xdr:cNvPr id="36" name="Graphic 6" descr="Map compass with solid fill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24117" y="1560921"/>
          <a:ext cx="245274" cy="245274"/>
        </a:xfrm>
        <a:prstGeom prst="rect">
          <a:avLst/>
        </a:prstGeom>
      </xdr:spPr>
    </xdr:pic>
    <xdr:clientData/>
  </xdr:twoCellAnchor>
  <xdr:twoCellAnchor>
    <xdr:from>
      <xdr:col>6</xdr:col>
      <xdr:colOff>201703</xdr:colOff>
      <xdr:row>5</xdr:row>
      <xdr:rowOff>211733</xdr:rowOff>
    </xdr:from>
    <xdr:to>
      <xdr:col>9</xdr:col>
      <xdr:colOff>220621</xdr:colOff>
      <xdr:row>9</xdr:row>
      <xdr:rowOff>22218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1573303" y="1354733"/>
          <a:ext cx="704718" cy="724885"/>
          <a:chOff x="1567727" y="894745"/>
          <a:chExt cx="701931" cy="721168"/>
        </a:xfrm>
      </xdr:grpSpPr>
      <xdr:pic>
        <xdr:nvPicPr>
          <xdr:cNvPr id="17" name="Graphic 16" descr="Add with solid fill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897776"/>
            <a:ext cx="240841" cy="244395"/>
          </a:xfrm>
          <a:prstGeom prst="rect">
            <a:avLst/>
          </a:prstGeom>
        </xdr:spPr>
      </xdr:pic>
      <xdr:pic>
        <xdr:nvPicPr>
          <xdr:cNvPr id="22" name="Graphic 21" descr="Add with solid fill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1133572"/>
            <a:ext cx="240841" cy="242292"/>
          </a:xfrm>
          <a:prstGeom prst="rect">
            <a:avLst/>
          </a:prstGeom>
        </xdr:spPr>
      </xdr:pic>
      <xdr:pic>
        <xdr:nvPicPr>
          <xdr:cNvPr id="25" name="Graphic 24" descr="Add with solid fill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7" y="1355360"/>
            <a:ext cx="240841" cy="244393"/>
          </a:xfrm>
          <a:prstGeom prst="rect">
            <a:avLst/>
          </a:prstGeom>
        </xdr:spPr>
      </xdr:pic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GrpSpPr/>
        </xdr:nvGrpSpPr>
        <xdr:grpSpPr>
          <a:xfrm flipH="1">
            <a:off x="1803027" y="894745"/>
            <a:ext cx="466631" cy="721168"/>
            <a:chOff x="1818729" y="901474"/>
            <a:chExt cx="471116" cy="730141"/>
          </a:xfrm>
        </xdr:grpSpPr>
        <xdr:pic>
          <xdr:nvPicPr>
            <xdr:cNvPr id="19" name="Graphic 18" descr="Close with solid fill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907413"/>
              <a:ext cx="243084" cy="248881"/>
            </a:xfrm>
            <a:prstGeom prst="rect">
              <a:avLst/>
            </a:prstGeom>
          </xdr:spPr>
        </xdr:pic>
        <xdr:pic>
          <xdr:nvPicPr>
            <xdr:cNvPr id="23" name="Graphic 22" descr="Close with solid fill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139499"/>
              <a:ext cx="243084" cy="246779"/>
            </a:xfrm>
            <a:prstGeom prst="rect">
              <a:avLst/>
            </a:prstGeom>
          </xdr:spPr>
        </xdr:pic>
        <xdr:pic>
          <xdr:nvPicPr>
            <xdr:cNvPr id="26" name="Graphic 25" descr="Close with solid fill">
              <a:extLst>
                <a:ext uri="{FF2B5EF4-FFF2-40B4-BE49-F238E27FC236}">
                  <a16:creationId xmlns:a16="http://schemas.microsoft.com/office/drawing/2014/main" id="{00000000-0008-0000-0400-00001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369483"/>
              <a:ext cx="243084" cy="248880"/>
            </a:xfrm>
            <a:prstGeom prst="rect">
              <a:avLst/>
            </a:prstGeom>
          </xdr:spPr>
        </xdr:pic>
        <xdr:pic>
          <xdr:nvPicPr>
            <xdr:cNvPr id="42" name="Graphic 6" descr="Map compass with solid fill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2038775" y="901474"/>
              <a:ext cx="251070" cy="256867"/>
            </a:xfrm>
            <a:prstGeom prst="rect">
              <a:avLst/>
            </a:prstGeom>
          </xdr:spPr>
        </xdr:pic>
        <xdr:pic>
          <xdr:nvPicPr>
            <xdr:cNvPr id="43" name="Graphic 6" descr="Map compass with solid fill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038775" y="1138111"/>
              <a:ext cx="251070" cy="256867"/>
            </a:xfrm>
            <a:prstGeom prst="rect">
              <a:avLst/>
            </a:prstGeom>
          </xdr:spPr>
        </xdr:pic>
        <xdr:pic>
          <xdr:nvPicPr>
            <xdr:cNvPr id="44" name="Graphic 6" descr="Map compass with solid fill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2038775" y="1380545"/>
              <a:ext cx="251070" cy="25107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60</xdr:col>
      <xdr:colOff>103790</xdr:colOff>
      <xdr:row>12</xdr:row>
      <xdr:rowOff>203967</xdr:rowOff>
    </xdr:from>
    <xdr:to>
      <xdr:col>66</xdr:col>
      <xdr:colOff>158661</xdr:colOff>
      <xdr:row>15</xdr:row>
      <xdr:rowOff>208990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pSpPr/>
      </xdr:nvGrpSpPr>
      <xdr:grpSpPr>
        <a:xfrm>
          <a:off x="13819790" y="2947167"/>
          <a:ext cx="1426471" cy="690823"/>
          <a:chOff x="6202454" y="2568388"/>
          <a:chExt cx="1434354" cy="694764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GrpSpPr/>
        </xdr:nvGrpSpPr>
        <xdr:grpSpPr>
          <a:xfrm>
            <a:off x="6202454" y="2568388"/>
            <a:ext cx="1434354" cy="694764"/>
            <a:chOff x="6202454" y="2568388"/>
            <a:chExt cx="1434354" cy="694764"/>
          </a:xfrm>
        </xdr:grpSpPr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00000000-0008-0000-0400-000031000000}"/>
                </a:ext>
              </a:extLst>
            </xdr:cNvPr>
            <xdr:cNvSpPr/>
          </xdr:nvSpPr>
          <xdr:spPr>
            <a:xfrm>
              <a:off x="6202454" y="2568388"/>
              <a:ext cx="1434354" cy="212911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chemeClr val="tx1"/>
                  </a:solidFill>
                </a:rPr>
                <a:t>ca</a:t>
              </a:r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00000000-0008-0000-0400-000032000000}"/>
                </a:ext>
              </a:extLst>
            </xdr:cNvPr>
            <xdr:cNvSpPr/>
          </xdr:nvSpPr>
          <xdr:spPr>
            <a:xfrm>
              <a:off x="6236073" y="2776817"/>
              <a:ext cx="1367118" cy="486335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1" r="-29138" b="75534"/>
          <a:stretch>
            <a:fillRect/>
          </a:stretch>
        </xdr:blipFill>
        <xdr:spPr>
          <a:xfrm>
            <a:off x="6298824" y="2788023"/>
            <a:ext cx="307043" cy="441512"/>
          </a:xfrm>
          <a:prstGeom prst="rect">
            <a:avLst/>
          </a:prstGeom>
        </xdr:spPr>
      </xdr:pic>
    </xdr:grpSp>
    <xdr:clientData/>
  </xdr:twoCellAnchor>
  <xdr:twoCellAnchor>
    <xdr:from>
      <xdr:col>57</xdr:col>
      <xdr:colOff>190282</xdr:colOff>
      <xdr:row>22</xdr:row>
      <xdr:rowOff>200024</xdr:rowOff>
    </xdr:from>
    <xdr:to>
      <xdr:col>63</xdr:col>
      <xdr:colOff>115619</xdr:colOff>
      <xdr:row>25</xdr:row>
      <xdr:rowOff>142315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5AF8253-72B3-D836-BCCA-DFA362E0C527}"/>
            </a:ext>
          </a:extLst>
        </xdr:cNvPr>
        <xdr:cNvGrpSpPr/>
      </xdr:nvGrpSpPr>
      <xdr:grpSpPr>
        <a:xfrm>
          <a:off x="13220482" y="5229224"/>
          <a:ext cx="1296937" cy="628091"/>
          <a:chOff x="6202454" y="2568388"/>
          <a:chExt cx="1434354" cy="694764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25FBE779-C257-18DB-3CB3-CE304C6AFF3B}"/>
              </a:ext>
            </a:extLst>
          </xdr:cNvPr>
          <xdr:cNvGrpSpPr/>
        </xdr:nvGrpSpPr>
        <xdr:grpSpPr>
          <a:xfrm>
            <a:off x="6202454" y="2568388"/>
            <a:ext cx="1434354" cy="694764"/>
            <a:chOff x="6202454" y="2568388"/>
            <a:chExt cx="1434354" cy="694764"/>
          </a:xfrm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1494B5AA-7D75-28EF-CC63-0E871D5B47A0}"/>
                </a:ext>
              </a:extLst>
            </xdr:cNvPr>
            <xdr:cNvSpPr/>
          </xdr:nvSpPr>
          <xdr:spPr>
            <a:xfrm>
              <a:off x="6202454" y="2568388"/>
              <a:ext cx="1434354" cy="212911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400">
                  <a:solidFill>
                    <a:schemeClr val="tx1"/>
                  </a:solidFill>
                </a:rPr>
                <a:t>DA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2164179B-7C80-2517-FCC4-CF9F58B5AA01}"/>
                </a:ext>
              </a:extLst>
            </xdr:cNvPr>
            <xdr:cNvSpPr/>
          </xdr:nvSpPr>
          <xdr:spPr>
            <a:xfrm>
              <a:off x="6236073" y="2776817"/>
              <a:ext cx="1367118" cy="486335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50662CBF-ECB4-230E-486E-063E6C570B7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1" r="-29138" b="75534"/>
          <a:stretch>
            <a:fillRect/>
          </a:stretch>
        </xdr:blipFill>
        <xdr:spPr>
          <a:xfrm>
            <a:off x="6298824" y="2788023"/>
            <a:ext cx="307043" cy="441512"/>
          </a:xfrm>
          <a:prstGeom prst="rect">
            <a:avLst/>
          </a:prstGeom>
        </xdr:spPr>
      </xdr:pic>
    </xdr:grpSp>
    <xdr:clientData/>
  </xdr:twoCellAnchor>
  <xdr:twoCellAnchor>
    <xdr:from>
      <xdr:col>60</xdr:col>
      <xdr:colOff>28358</xdr:colOff>
      <xdr:row>5</xdr:row>
      <xdr:rowOff>38099</xdr:rowOff>
    </xdr:from>
    <xdr:to>
      <xdr:col>65</xdr:col>
      <xdr:colOff>182295</xdr:colOff>
      <xdr:row>7</xdr:row>
      <xdr:rowOff>208990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6FF39F13-63E0-115D-F94A-1CE5328DEEA4}"/>
            </a:ext>
          </a:extLst>
        </xdr:cNvPr>
        <xdr:cNvGrpSpPr/>
      </xdr:nvGrpSpPr>
      <xdr:grpSpPr>
        <a:xfrm>
          <a:off x="13744358" y="1181099"/>
          <a:ext cx="1296937" cy="628091"/>
          <a:chOff x="9731418" y="1683356"/>
          <a:chExt cx="1434354" cy="694764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CD8DDCAE-FB0D-8EF0-7209-99B58CEAF098}"/>
              </a:ext>
            </a:extLst>
          </xdr:cNvPr>
          <xdr:cNvSpPr/>
        </xdr:nvSpPr>
        <xdr:spPr>
          <a:xfrm>
            <a:off x="9731418" y="1683356"/>
            <a:ext cx="1434354" cy="212911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chemeClr val="tx1"/>
                </a:solidFill>
              </a:rPr>
              <a:t>mO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C1C973E-2B32-4568-217E-05562E9CA482}"/>
              </a:ext>
            </a:extLst>
          </xdr:cNvPr>
          <xdr:cNvSpPr/>
        </xdr:nvSpPr>
        <xdr:spPr>
          <a:xfrm>
            <a:off x="9765037" y="1891785"/>
            <a:ext cx="1367117" cy="486335"/>
          </a:xfrm>
          <a:prstGeom prst="rect">
            <a:avLst/>
          </a:prstGeom>
          <a:solidFill>
            <a:schemeClr val="bg2">
              <a:lumMod val="9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24</xdr:col>
      <xdr:colOff>133350</xdr:colOff>
      <xdr:row>2</xdr:row>
      <xdr:rowOff>123825</xdr:rowOff>
    </xdr:from>
    <xdr:to>
      <xdr:col>33</xdr:col>
      <xdr:colOff>142875</xdr:colOff>
      <xdr:row>18</xdr:row>
      <xdr:rowOff>133350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CE0C221-3F38-F2EE-282C-B1068AEA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524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104775</xdr:colOff>
      <xdr:row>6</xdr:row>
      <xdr:rowOff>38100</xdr:rowOff>
    </xdr:from>
    <xdr:to>
      <xdr:col>62</xdr:col>
      <xdr:colOff>95250</xdr:colOff>
      <xdr:row>7</xdr:row>
      <xdr:rowOff>190500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8EBBF8A-E4E4-0C02-2068-F050045459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8367" r="4081" b="-1"/>
        <a:stretch>
          <a:fillRect/>
        </a:stretch>
      </xdr:blipFill>
      <xdr:spPr bwMode="auto">
        <a:xfrm>
          <a:off x="13820775" y="1181100"/>
          <a:ext cx="4476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133350</xdr:colOff>
      <xdr:row>7</xdr:row>
      <xdr:rowOff>133350</xdr:rowOff>
    </xdr:from>
    <xdr:to>
      <xdr:col>30</xdr:col>
      <xdr:colOff>72504</xdr:colOff>
      <xdr:row>10</xdr:row>
      <xdr:rowOff>87685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936E4D5-16B7-3C81-E03D-4551420D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19750" y="1504950"/>
          <a:ext cx="1310754" cy="640135"/>
        </a:xfrm>
        <a:prstGeom prst="rect">
          <a:avLst/>
        </a:prstGeom>
      </xdr:spPr>
    </xdr:pic>
    <xdr:clientData/>
  </xdr:twoCellAnchor>
  <xdr:twoCellAnchor editAs="oneCell">
    <xdr:from>
      <xdr:col>33</xdr:col>
      <xdr:colOff>200025</xdr:colOff>
      <xdr:row>2</xdr:row>
      <xdr:rowOff>114300</xdr:rowOff>
    </xdr:from>
    <xdr:to>
      <xdr:col>42</xdr:col>
      <xdr:colOff>209550</xdr:colOff>
      <xdr:row>18</xdr:row>
      <xdr:rowOff>123825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B44EB89-816A-839F-55DF-E8FB1EEA4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3429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12</xdr:row>
      <xdr:rowOff>29135</xdr:rowOff>
    </xdr:from>
    <xdr:to>
      <xdr:col>8</xdr:col>
      <xdr:colOff>115981</xdr:colOff>
      <xdr:row>14</xdr:row>
      <xdr:rowOff>59391</xdr:rowOff>
    </xdr:to>
    <xdr:pic>
      <xdr:nvPicPr>
        <xdr:cNvPr id="30" name="Graphic 29" descr="Cursor with solid fill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457325" y="2543735"/>
          <a:ext cx="487456" cy="487456"/>
        </a:xfrm>
        <a:prstGeom prst="rect">
          <a:avLst/>
        </a:prstGeom>
      </xdr:spPr>
    </xdr:pic>
    <xdr:clientData/>
  </xdr:twoCellAnchor>
  <xdr:twoCellAnchor editAs="oneCell">
    <xdr:from>
      <xdr:col>43</xdr:col>
      <xdr:colOff>38100</xdr:colOff>
      <xdr:row>2</xdr:row>
      <xdr:rowOff>114300</xdr:rowOff>
    </xdr:from>
    <xdr:to>
      <xdr:col>52</xdr:col>
      <xdr:colOff>47625</xdr:colOff>
      <xdr:row>18</xdr:row>
      <xdr:rowOff>123825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1CB0241-62FA-6692-2002-3760F5FC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7900" y="3429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200025</xdr:rowOff>
    </xdr:from>
    <xdr:to>
      <xdr:col>23</xdr:col>
      <xdr:colOff>9525</xdr:colOff>
      <xdr:row>34</xdr:row>
      <xdr:rowOff>209550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7CA3F26D-F625-E4D1-9AD1-DBA13C9F7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133350</xdr:colOff>
      <xdr:row>18</xdr:row>
      <xdr:rowOff>200025</xdr:rowOff>
    </xdr:from>
    <xdr:to>
      <xdr:col>33</xdr:col>
      <xdr:colOff>142875</xdr:colOff>
      <xdr:row>34</xdr:row>
      <xdr:rowOff>209550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9318F00-EF7E-3690-8E9C-19E39E832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209550</xdr:colOff>
      <xdr:row>18</xdr:row>
      <xdr:rowOff>200025</xdr:rowOff>
    </xdr:from>
    <xdr:to>
      <xdr:col>42</xdr:col>
      <xdr:colOff>219075</xdr:colOff>
      <xdr:row>34</xdr:row>
      <xdr:rowOff>209550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F96CAE1-63C6-F57B-B909-BF0A309E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38100</xdr:colOff>
      <xdr:row>18</xdr:row>
      <xdr:rowOff>200025</xdr:rowOff>
    </xdr:from>
    <xdr:to>
      <xdr:col>52</xdr:col>
      <xdr:colOff>47625</xdr:colOff>
      <xdr:row>34</xdr:row>
      <xdr:rowOff>209550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727C65E-4185-F3EE-8687-DF47BB73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790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23</xdr:col>
      <xdr:colOff>9525</xdr:colOff>
      <xdr:row>52</xdr:row>
      <xdr:rowOff>9525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8574101-BF46-EC26-C723-52A8C35F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80010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123825</xdr:colOff>
      <xdr:row>36</xdr:row>
      <xdr:rowOff>0</xdr:rowOff>
    </xdr:from>
    <xdr:to>
      <xdr:col>33</xdr:col>
      <xdr:colOff>133350</xdr:colOff>
      <xdr:row>52</xdr:row>
      <xdr:rowOff>9525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349C694-907A-8B19-7C74-95C89840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80010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85</xdr:col>
      <xdr:colOff>155863</xdr:colOff>
      <xdr:row>6</xdr:row>
      <xdr:rowOff>51955</xdr:rowOff>
    </xdr:from>
    <xdr:to>
      <xdr:col>88</xdr:col>
      <xdr:colOff>174781</xdr:colOff>
      <xdr:row>9</xdr:row>
      <xdr:rowOff>87577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1E105B4-01FC-4B9B-B950-3042240093AD}"/>
            </a:ext>
          </a:extLst>
        </xdr:cNvPr>
        <xdr:cNvGrpSpPr/>
      </xdr:nvGrpSpPr>
      <xdr:grpSpPr>
        <a:xfrm>
          <a:off x="19586863" y="1423555"/>
          <a:ext cx="704718" cy="721422"/>
          <a:chOff x="1567727" y="894745"/>
          <a:chExt cx="701931" cy="721168"/>
        </a:xfrm>
      </xdr:grpSpPr>
      <xdr:pic>
        <xdr:nvPicPr>
          <xdr:cNvPr id="31" name="Graphic 30" descr="Add with solid fill">
            <a:extLst>
              <a:ext uri="{FF2B5EF4-FFF2-40B4-BE49-F238E27FC236}">
                <a16:creationId xmlns:a16="http://schemas.microsoft.com/office/drawing/2014/main" id="{602F1786-2C01-3CF3-185E-86A7A2AA02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897776"/>
            <a:ext cx="240841" cy="244395"/>
          </a:xfrm>
          <a:prstGeom prst="rect">
            <a:avLst/>
          </a:prstGeom>
        </xdr:spPr>
      </xdr:pic>
      <xdr:pic>
        <xdr:nvPicPr>
          <xdr:cNvPr id="33" name="Graphic 32" descr="Add with solid fill">
            <a:extLst>
              <a:ext uri="{FF2B5EF4-FFF2-40B4-BE49-F238E27FC236}">
                <a16:creationId xmlns:a16="http://schemas.microsoft.com/office/drawing/2014/main" id="{A4241EAE-8742-025B-24EF-177B3DA508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1133572"/>
            <a:ext cx="240841" cy="242292"/>
          </a:xfrm>
          <a:prstGeom prst="rect">
            <a:avLst/>
          </a:prstGeom>
        </xdr:spPr>
      </xdr:pic>
      <xdr:pic>
        <xdr:nvPicPr>
          <xdr:cNvPr id="35" name="Graphic 34" descr="Add with solid fill">
            <a:extLst>
              <a:ext uri="{FF2B5EF4-FFF2-40B4-BE49-F238E27FC236}">
                <a16:creationId xmlns:a16="http://schemas.microsoft.com/office/drawing/2014/main" id="{C0081715-A837-2BDA-F814-49499C12C6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7" y="1355360"/>
            <a:ext cx="240841" cy="244393"/>
          </a:xfrm>
          <a:prstGeom prst="rect">
            <a:avLst/>
          </a:prstGeom>
        </xdr:spPr>
      </xdr:pic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1F76A059-FF5C-D5BE-8016-DD76A6FF9179}"/>
              </a:ext>
            </a:extLst>
          </xdr:cNvPr>
          <xdr:cNvGrpSpPr/>
        </xdr:nvGrpSpPr>
        <xdr:grpSpPr>
          <a:xfrm flipH="1">
            <a:off x="1803027" y="894745"/>
            <a:ext cx="466631" cy="721168"/>
            <a:chOff x="1818729" y="901474"/>
            <a:chExt cx="471116" cy="730141"/>
          </a:xfrm>
        </xdr:grpSpPr>
        <xdr:pic>
          <xdr:nvPicPr>
            <xdr:cNvPr id="39" name="Graphic 38" descr="Close with solid fill">
              <a:extLst>
                <a:ext uri="{FF2B5EF4-FFF2-40B4-BE49-F238E27FC236}">
                  <a16:creationId xmlns:a16="http://schemas.microsoft.com/office/drawing/2014/main" id="{45F17DA3-46B6-16AD-FA75-8888E85A0E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907413"/>
              <a:ext cx="243084" cy="248881"/>
            </a:xfrm>
            <a:prstGeom prst="rect">
              <a:avLst/>
            </a:prstGeom>
          </xdr:spPr>
        </xdr:pic>
        <xdr:pic>
          <xdr:nvPicPr>
            <xdr:cNvPr id="40" name="Graphic 39" descr="Close with solid fill">
              <a:extLst>
                <a:ext uri="{FF2B5EF4-FFF2-40B4-BE49-F238E27FC236}">
                  <a16:creationId xmlns:a16="http://schemas.microsoft.com/office/drawing/2014/main" id="{9E029941-334F-242E-BDE8-32ED3E66C7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139499"/>
              <a:ext cx="243084" cy="246779"/>
            </a:xfrm>
            <a:prstGeom prst="rect">
              <a:avLst/>
            </a:prstGeom>
          </xdr:spPr>
        </xdr:pic>
        <xdr:pic>
          <xdr:nvPicPr>
            <xdr:cNvPr id="41" name="Graphic 40" descr="Close with solid fill">
              <a:extLst>
                <a:ext uri="{FF2B5EF4-FFF2-40B4-BE49-F238E27FC236}">
                  <a16:creationId xmlns:a16="http://schemas.microsoft.com/office/drawing/2014/main" id="{2B1B3155-24B8-212F-410F-6F98530B6D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369483"/>
              <a:ext cx="243084" cy="248880"/>
            </a:xfrm>
            <a:prstGeom prst="rect">
              <a:avLst/>
            </a:prstGeom>
          </xdr:spPr>
        </xdr:pic>
        <xdr:pic>
          <xdr:nvPicPr>
            <xdr:cNvPr id="52" name="Graphic 6" descr="Map compass with solid fill">
              <a:extLst>
                <a:ext uri="{FF2B5EF4-FFF2-40B4-BE49-F238E27FC236}">
                  <a16:creationId xmlns:a16="http://schemas.microsoft.com/office/drawing/2014/main" id="{E49484C3-5729-0BA9-6EE5-768F021FCD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31"/>
                </a:ext>
              </a:extLst>
            </a:blip>
            <a:stretch>
              <a:fillRect/>
            </a:stretch>
          </xdr:blipFill>
          <xdr:spPr>
            <a:xfrm>
              <a:off x="2038775" y="901474"/>
              <a:ext cx="251070" cy="256867"/>
            </a:xfrm>
            <a:prstGeom prst="rect">
              <a:avLst/>
            </a:prstGeom>
          </xdr:spPr>
        </xdr:pic>
        <xdr:pic>
          <xdr:nvPicPr>
            <xdr:cNvPr id="53" name="Graphic 6" descr="Map compass with solid fill">
              <a:extLst>
                <a:ext uri="{FF2B5EF4-FFF2-40B4-BE49-F238E27FC236}">
                  <a16:creationId xmlns:a16="http://schemas.microsoft.com/office/drawing/2014/main" id="{4059F7C9-295B-0F93-5237-EE33D00F7D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2">
              <a:extLst>
                <a:ext uri="{96DAC541-7B7A-43D3-8B79-37D633B846F1}">
                  <asvg:svgBlip xmlns:asvg="http://schemas.microsoft.com/office/drawing/2016/SVG/main" r:embed="rId33"/>
                </a:ext>
              </a:extLst>
            </a:blip>
            <a:stretch>
              <a:fillRect/>
            </a:stretch>
          </xdr:blipFill>
          <xdr:spPr>
            <a:xfrm>
              <a:off x="2038775" y="1138111"/>
              <a:ext cx="251070" cy="256867"/>
            </a:xfrm>
            <a:prstGeom prst="rect">
              <a:avLst/>
            </a:prstGeom>
          </xdr:spPr>
        </xdr:pic>
        <xdr:pic>
          <xdr:nvPicPr>
            <xdr:cNvPr id="54" name="Graphic 6" descr="Map compass with solid fill">
              <a:extLst>
                <a:ext uri="{FF2B5EF4-FFF2-40B4-BE49-F238E27FC236}">
                  <a16:creationId xmlns:a16="http://schemas.microsoft.com/office/drawing/2014/main" id="{7B7BAB39-A076-FE9A-AAFF-B39E33C209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2038775" y="1380545"/>
              <a:ext cx="251070" cy="25107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60</xdr:col>
      <xdr:colOff>187035</xdr:colOff>
      <xdr:row>16</xdr:row>
      <xdr:rowOff>65810</xdr:rowOff>
    </xdr:from>
    <xdr:to>
      <xdr:col>63</xdr:col>
      <xdr:colOff>205953</xdr:colOff>
      <xdr:row>19</xdr:row>
      <xdr:rowOff>101431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A4D8952D-EFFD-22F5-D092-E06934A44D65}"/>
            </a:ext>
          </a:extLst>
        </xdr:cNvPr>
        <xdr:cNvGrpSpPr/>
      </xdr:nvGrpSpPr>
      <xdr:grpSpPr>
        <a:xfrm>
          <a:off x="13903035" y="3723410"/>
          <a:ext cx="704718" cy="721421"/>
          <a:chOff x="1567727" y="894745"/>
          <a:chExt cx="701931" cy="721168"/>
        </a:xfrm>
      </xdr:grpSpPr>
      <xdr:pic>
        <xdr:nvPicPr>
          <xdr:cNvPr id="56" name="Graphic 55" descr="Add with solid fill">
            <a:extLst>
              <a:ext uri="{FF2B5EF4-FFF2-40B4-BE49-F238E27FC236}">
                <a16:creationId xmlns:a16="http://schemas.microsoft.com/office/drawing/2014/main" id="{CABFB3E8-CCF0-8507-EFA1-4B6927357D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897776"/>
            <a:ext cx="240841" cy="244395"/>
          </a:xfrm>
          <a:prstGeom prst="rect">
            <a:avLst/>
          </a:prstGeom>
        </xdr:spPr>
      </xdr:pic>
      <xdr:pic>
        <xdr:nvPicPr>
          <xdr:cNvPr id="60" name="Graphic 59" descr="Add with solid fill">
            <a:extLst>
              <a:ext uri="{FF2B5EF4-FFF2-40B4-BE49-F238E27FC236}">
                <a16:creationId xmlns:a16="http://schemas.microsoft.com/office/drawing/2014/main" id="{0DAF8C47-D615-5797-440C-AACDACD8DA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1133572"/>
            <a:ext cx="240841" cy="242292"/>
          </a:xfrm>
          <a:prstGeom prst="rect">
            <a:avLst/>
          </a:prstGeom>
        </xdr:spPr>
      </xdr:pic>
      <xdr:pic>
        <xdr:nvPicPr>
          <xdr:cNvPr id="61" name="Graphic 60" descr="Add with solid fill">
            <a:extLst>
              <a:ext uri="{FF2B5EF4-FFF2-40B4-BE49-F238E27FC236}">
                <a16:creationId xmlns:a16="http://schemas.microsoft.com/office/drawing/2014/main" id="{3B5858AB-974D-9A24-7AE5-AEBEF59FAA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7" y="1355360"/>
            <a:ext cx="240841" cy="244393"/>
          </a:xfrm>
          <a:prstGeom prst="rect">
            <a:avLst/>
          </a:prstGeom>
        </xdr:spPr>
      </xdr:pic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2B07DC36-37AA-A5A8-716E-27751C8E958F}"/>
              </a:ext>
            </a:extLst>
          </xdr:cNvPr>
          <xdr:cNvGrpSpPr/>
        </xdr:nvGrpSpPr>
        <xdr:grpSpPr>
          <a:xfrm flipH="1">
            <a:off x="1803027" y="894745"/>
            <a:ext cx="466631" cy="721168"/>
            <a:chOff x="1818729" y="901474"/>
            <a:chExt cx="471116" cy="730141"/>
          </a:xfrm>
        </xdr:grpSpPr>
        <xdr:pic>
          <xdr:nvPicPr>
            <xdr:cNvPr id="64" name="Graphic 63" descr="Close with solid fill">
              <a:extLst>
                <a:ext uri="{FF2B5EF4-FFF2-40B4-BE49-F238E27FC236}">
                  <a16:creationId xmlns:a16="http://schemas.microsoft.com/office/drawing/2014/main" id="{658DBB61-FBE2-97DC-B953-0D74482611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907413"/>
              <a:ext cx="243084" cy="248881"/>
            </a:xfrm>
            <a:prstGeom prst="rect">
              <a:avLst/>
            </a:prstGeom>
          </xdr:spPr>
        </xdr:pic>
        <xdr:pic>
          <xdr:nvPicPr>
            <xdr:cNvPr id="65" name="Graphic 64" descr="Close with solid fill">
              <a:extLst>
                <a:ext uri="{FF2B5EF4-FFF2-40B4-BE49-F238E27FC236}">
                  <a16:creationId xmlns:a16="http://schemas.microsoft.com/office/drawing/2014/main" id="{8EFAB4B3-D435-312B-8F21-7FA77170DC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139499"/>
              <a:ext cx="243084" cy="246779"/>
            </a:xfrm>
            <a:prstGeom prst="rect">
              <a:avLst/>
            </a:prstGeom>
          </xdr:spPr>
        </xdr:pic>
        <xdr:pic>
          <xdr:nvPicPr>
            <xdr:cNvPr id="66" name="Graphic 65" descr="Close with solid fill">
              <a:extLst>
                <a:ext uri="{FF2B5EF4-FFF2-40B4-BE49-F238E27FC236}">
                  <a16:creationId xmlns:a16="http://schemas.microsoft.com/office/drawing/2014/main" id="{C69682A1-8D11-B763-ABB2-A1C9218CE1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369483"/>
              <a:ext cx="243084" cy="248880"/>
            </a:xfrm>
            <a:prstGeom prst="rect">
              <a:avLst/>
            </a:prstGeom>
          </xdr:spPr>
        </xdr:pic>
        <xdr:pic>
          <xdr:nvPicPr>
            <xdr:cNvPr id="67" name="Graphic 6" descr="Map compass with solid fill">
              <a:extLst>
                <a:ext uri="{FF2B5EF4-FFF2-40B4-BE49-F238E27FC236}">
                  <a16:creationId xmlns:a16="http://schemas.microsoft.com/office/drawing/2014/main" id="{E0116B43-26F2-AF73-4D59-1C88DA8579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34"/>
                </a:ext>
              </a:extLst>
            </a:blip>
            <a:stretch>
              <a:fillRect/>
            </a:stretch>
          </xdr:blipFill>
          <xdr:spPr>
            <a:xfrm>
              <a:off x="2038775" y="901474"/>
              <a:ext cx="251070" cy="256867"/>
            </a:xfrm>
            <a:prstGeom prst="rect">
              <a:avLst/>
            </a:prstGeom>
          </xdr:spPr>
        </xdr:pic>
        <xdr:pic>
          <xdr:nvPicPr>
            <xdr:cNvPr id="68" name="Graphic 6" descr="Map compass with solid fill">
              <a:extLst>
                <a:ext uri="{FF2B5EF4-FFF2-40B4-BE49-F238E27FC236}">
                  <a16:creationId xmlns:a16="http://schemas.microsoft.com/office/drawing/2014/main" id="{92A8F6EE-909D-72C5-CBB8-3480D86A27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35"/>
                </a:ext>
              </a:extLst>
            </a:blip>
            <a:stretch>
              <a:fillRect/>
            </a:stretch>
          </xdr:blipFill>
          <xdr:spPr>
            <a:xfrm>
              <a:off x="2038775" y="1138111"/>
              <a:ext cx="251070" cy="256867"/>
            </a:xfrm>
            <a:prstGeom prst="rect">
              <a:avLst/>
            </a:prstGeom>
          </xdr:spPr>
        </xdr:pic>
        <xdr:pic>
          <xdr:nvPicPr>
            <xdr:cNvPr id="69" name="Graphic 6" descr="Map compass with solid fill">
              <a:extLst>
                <a:ext uri="{FF2B5EF4-FFF2-40B4-BE49-F238E27FC236}">
                  <a16:creationId xmlns:a16="http://schemas.microsoft.com/office/drawing/2014/main" id="{392CC588-0979-7FEE-8F27-FEA53EB14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2038775" y="1380545"/>
              <a:ext cx="251070" cy="25107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79</xdr:col>
      <xdr:colOff>219075</xdr:colOff>
      <xdr:row>11</xdr:row>
      <xdr:rowOff>209550</xdr:rowOff>
    </xdr:from>
    <xdr:to>
      <xdr:col>81</xdr:col>
      <xdr:colOff>11542</xdr:colOff>
      <xdr:row>13</xdr:row>
      <xdr:rowOff>6150</xdr:rowOff>
    </xdr:to>
    <xdr:pic>
      <xdr:nvPicPr>
        <xdr:cNvPr id="70" name="Graphic 6" descr="Map compass with solid fill">
          <a:extLst>
            <a:ext uri="{FF2B5EF4-FFF2-40B4-BE49-F238E27FC236}">
              <a16:creationId xmlns:a16="http://schemas.microsoft.com/office/drawing/2014/main" id="{FA3069B0-0E70-4936-9567-A1DA9BE2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 flipH="1">
          <a:off x="18278475" y="2038350"/>
          <a:ext cx="249667" cy="253800"/>
        </a:xfrm>
        <a:prstGeom prst="rect">
          <a:avLst/>
        </a:prstGeom>
      </xdr:spPr>
    </xdr:pic>
    <xdr:clientData/>
  </xdr:twoCellAnchor>
  <xdr:twoCellAnchor editAs="oneCell">
    <xdr:from>
      <xdr:col>64</xdr:col>
      <xdr:colOff>219075</xdr:colOff>
      <xdr:row>23</xdr:row>
      <xdr:rowOff>0</xdr:rowOff>
    </xdr:from>
    <xdr:to>
      <xdr:col>66</xdr:col>
      <xdr:colOff>0</xdr:colOff>
      <xdr:row>29</xdr:row>
      <xdr:rowOff>9525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5EB159E-B404-DA27-6C3A-70E70ADD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9475" y="5029200"/>
          <a:ext cx="2381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19050</xdr:colOff>
      <xdr:row>4</xdr:row>
      <xdr:rowOff>200025</xdr:rowOff>
    </xdr:from>
    <xdr:to>
      <xdr:col>134</xdr:col>
      <xdr:colOff>28575</xdr:colOff>
      <xdr:row>24</xdr:row>
      <xdr:rowOff>209550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A809D98-0999-E88C-AFF2-1C4304B4B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79650" y="428625"/>
          <a:ext cx="29813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114300</xdr:colOff>
      <xdr:row>13</xdr:row>
      <xdr:rowOff>162485</xdr:rowOff>
    </xdr:from>
    <xdr:to>
      <xdr:col>73</xdr:col>
      <xdr:colOff>144556</xdr:colOff>
      <xdr:row>15</xdr:row>
      <xdr:rowOff>192741</xdr:rowOff>
    </xdr:to>
    <xdr:pic>
      <xdr:nvPicPr>
        <xdr:cNvPr id="91" name="Graphic 90" descr="Cursor with solid fill">
          <a:extLst>
            <a:ext uri="{FF2B5EF4-FFF2-40B4-BE49-F238E27FC236}">
              <a16:creationId xmlns:a16="http://schemas.microsoft.com/office/drawing/2014/main" id="{02267B6A-E342-313F-A931-38D29C271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6344900" y="2905685"/>
          <a:ext cx="487456" cy="487456"/>
        </a:xfrm>
        <a:prstGeom prst="rect">
          <a:avLst/>
        </a:prstGeom>
      </xdr:spPr>
    </xdr:pic>
    <xdr:clientData/>
  </xdr:twoCellAnchor>
  <xdr:twoCellAnchor>
    <xdr:from>
      <xdr:col>68</xdr:col>
      <xdr:colOff>80682</xdr:colOff>
      <xdr:row>5</xdr:row>
      <xdr:rowOff>213472</xdr:rowOff>
    </xdr:from>
    <xdr:to>
      <xdr:col>72</xdr:col>
      <xdr:colOff>109257</xdr:colOff>
      <xdr:row>11</xdr:row>
      <xdr:rowOff>203947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AC7006F-008C-4D3F-A902-BC15D19D4023}"/>
            </a:ext>
          </a:extLst>
        </xdr:cNvPr>
        <xdr:cNvSpPr/>
      </xdr:nvSpPr>
      <xdr:spPr>
        <a:xfrm>
          <a:off x="15625482" y="1127872"/>
          <a:ext cx="942975" cy="136207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71157</xdr:colOff>
      <xdr:row>5</xdr:row>
      <xdr:rowOff>203947</xdr:rowOff>
    </xdr:from>
    <xdr:to>
      <xdr:col>70</xdr:col>
      <xdr:colOff>80682</xdr:colOff>
      <xdr:row>11</xdr:row>
      <xdr:rowOff>213472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3DABBA5-D52D-420F-8FC8-E34FA20AA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5957" y="1118347"/>
          <a:ext cx="4667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68</xdr:col>
      <xdr:colOff>14007</xdr:colOff>
      <xdr:row>4</xdr:row>
      <xdr:rowOff>213472</xdr:rowOff>
    </xdr:from>
    <xdr:to>
      <xdr:col>73</xdr:col>
      <xdr:colOff>33057</xdr:colOff>
      <xdr:row>5</xdr:row>
      <xdr:rowOff>222997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983C626-21BB-4DE3-A323-3FACC0E38BFA}"/>
            </a:ext>
          </a:extLst>
        </xdr:cNvPr>
        <xdr:cNvSpPr/>
      </xdr:nvSpPr>
      <xdr:spPr>
        <a:xfrm>
          <a:off x="15558807" y="899272"/>
          <a:ext cx="1162050" cy="2381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RA</a:t>
          </a:r>
        </a:p>
      </xdr:txBody>
    </xdr:sp>
    <xdr:clientData/>
  </xdr:twoCellAnchor>
  <xdr:twoCellAnchor>
    <xdr:from>
      <xdr:col>93</xdr:col>
      <xdr:colOff>190500</xdr:colOff>
      <xdr:row>4</xdr:row>
      <xdr:rowOff>200025</xdr:rowOff>
    </xdr:from>
    <xdr:to>
      <xdr:col>106</xdr:col>
      <xdr:colOff>200025</xdr:colOff>
      <xdr:row>24</xdr:row>
      <xdr:rowOff>209550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1DBD1879-8BE4-1C5A-BC9C-36D6AFCB37B9}"/>
            </a:ext>
          </a:extLst>
        </xdr:cNvPr>
        <xdr:cNvGrpSpPr/>
      </xdr:nvGrpSpPr>
      <xdr:grpSpPr>
        <a:xfrm>
          <a:off x="21450300" y="1114425"/>
          <a:ext cx="2981325" cy="4581525"/>
          <a:chOff x="21450300" y="428625"/>
          <a:chExt cx="2981325" cy="4581525"/>
        </a:xfrm>
      </xdr:grpSpPr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F268380-9074-439D-AA54-49CFB35E84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450300" y="428625"/>
            <a:ext cx="2981325" cy="45815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52121849-086A-C6F0-280E-D827C7E3F0CF}"/>
              </a:ext>
            </a:extLst>
          </xdr:cNvPr>
          <xdr:cNvSpPr/>
        </xdr:nvSpPr>
        <xdr:spPr>
          <a:xfrm>
            <a:off x="21459825" y="1323975"/>
            <a:ext cx="1333500" cy="22860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80</xdr:col>
      <xdr:colOff>19050</xdr:colOff>
      <xdr:row>25</xdr:row>
      <xdr:rowOff>209550</xdr:rowOff>
    </xdr:from>
    <xdr:to>
      <xdr:col>93</xdr:col>
      <xdr:colOff>28575</xdr:colOff>
      <xdr:row>45</xdr:row>
      <xdr:rowOff>219075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3B68255-A7E2-4A87-EB29-EB67C5D4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7050" y="5924550"/>
          <a:ext cx="29813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80</xdr:col>
      <xdr:colOff>0</xdr:colOff>
      <xdr:row>0</xdr:row>
      <xdr:rowOff>190500</xdr:rowOff>
    </xdr:from>
    <xdr:to>
      <xdr:col>93</xdr:col>
      <xdr:colOff>0</xdr:colOff>
      <xdr:row>5</xdr:row>
      <xdr:rowOff>933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8DB52D94-F80B-1650-C6AA-A59D6B893448}"/>
            </a:ext>
          </a:extLst>
        </xdr:cNvPr>
        <xdr:cNvGrpSpPr/>
      </xdr:nvGrpSpPr>
      <xdr:grpSpPr>
        <a:xfrm>
          <a:off x="18288000" y="190500"/>
          <a:ext cx="2971800" cy="953433"/>
          <a:chOff x="18288000" y="190500"/>
          <a:chExt cx="2971800" cy="953433"/>
        </a:xfrm>
      </xdr:grpSpPr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1F10485C-AF55-A9FA-87EB-23A7FAEE3AD9}"/>
              </a:ext>
            </a:extLst>
          </xdr:cNvPr>
          <xdr:cNvSpPr/>
        </xdr:nvSpPr>
        <xdr:spPr>
          <a:xfrm>
            <a:off x="18288000" y="190500"/>
            <a:ext cx="2971800" cy="9525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SETUP</a:t>
            </a:r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DCAAF25C-F067-FD82-ACF0-FC3A63F20077}"/>
              </a:ext>
            </a:extLst>
          </xdr:cNvPr>
          <xdr:cNvGrpSpPr/>
        </xdr:nvGrpSpPr>
        <xdr:grpSpPr>
          <a:xfrm>
            <a:off x="19716750" y="437607"/>
            <a:ext cx="1533526" cy="619668"/>
            <a:chOff x="19716750" y="437607"/>
            <a:chExt cx="1533526" cy="619668"/>
          </a:xfrm>
        </xdr:grpSpPr>
        <xdr:pic>
          <xdr:nvPicPr>
            <xdr:cNvPr id="108" name="Picture 107">
              <a:extLst>
                <a:ext uri="{FF2B5EF4-FFF2-40B4-BE49-F238E27FC236}">
                  <a16:creationId xmlns:a16="http://schemas.microsoft.com/office/drawing/2014/main" id="{7C418B61-575B-1E50-985A-8D1B7AD7068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716750" y="437607"/>
              <a:ext cx="1533526" cy="61966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" name="Graphic 109" descr="Play with solid fill">
              <a:extLst>
                <a:ext uri="{FF2B5EF4-FFF2-40B4-BE49-F238E27FC236}">
                  <a16:creationId xmlns:a16="http://schemas.microsoft.com/office/drawing/2014/main" id="{6D71C82C-F89D-4877-A24E-EB2ADD9F8B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96DAC541-7B7A-43D3-8B79-37D633B846F1}">
                  <asvg:svgBlip xmlns:asvg="http://schemas.microsoft.com/office/drawing/2016/SVG/main" r:embed="rId43"/>
                </a:ext>
              </a:extLst>
            </a:blip>
            <a:stretch>
              <a:fillRect/>
            </a:stretch>
          </xdr:blipFill>
          <xdr:spPr>
            <a:xfrm rot="5400000">
              <a:off x="21078825" y="504825"/>
              <a:ext cx="133350" cy="133350"/>
            </a:xfrm>
            <a:prstGeom prst="rect">
              <a:avLst/>
            </a:prstGeom>
          </xdr:spPr>
        </xdr:pic>
        <xdr:pic>
          <xdr:nvPicPr>
            <xdr:cNvPr id="111" name="Graphic 110" descr="Play with solid fill">
              <a:extLst>
                <a:ext uri="{FF2B5EF4-FFF2-40B4-BE49-F238E27FC236}">
                  <a16:creationId xmlns:a16="http://schemas.microsoft.com/office/drawing/2014/main" id="{26217C20-3340-3C34-70B1-946656D646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96DAC541-7B7A-43D3-8B79-37D633B846F1}">
                  <asvg:svgBlip xmlns:asvg="http://schemas.microsoft.com/office/drawing/2016/SVG/main" r:embed="rId43"/>
                </a:ext>
              </a:extLst>
            </a:blip>
            <a:stretch>
              <a:fillRect/>
            </a:stretch>
          </xdr:blipFill>
          <xdr:spPr>
            <a:xfrm rot="5400000">
              <a:off x="21078825" y="685800"/>
              <a:ext cx="133350" cy="133350"/>
            </a:xfrm>
            <a:prstGeom prst="rect">
              <a:avLst/>
            </a:prstGeom>
          </xdr:spPr>
        </xdr:pic>
        <xdr:pic>
          <xdr:nvPicPr>
            <xdr:cNvPr id="112" name="Graphic 111" descr="Play with solid fill">
              <a:extLst>
                <a:ext uri="{FF2B5EF4-FFF2-40B4-BE49-F238E27FC236}">
                  <a16:creationId xmlns:a16="http://schemas.microsoft.com/office/drawing/2014/main" id="{2B0B3BFA-AC25-89E2-B9BD-E9AD7E6B15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96DAC541-7B7A-43D3-8B79-37D633B846F1}">
                  <asvg:svgBlip xmlns:asvg="http://schemas.microsoft.com/office/drawing/2016/SVG/main" r:embed="rId43"/>
                </a:ext>
              </a:extLst>
            </a:blip>
            <a:stretch>
              <a:fillRect/>
            </a:stretch>
          </xdr:blipFill>
          <xdr:spPr>
            <a:xfrm rot="5400000">
              <a:off x="21078825" y="876300"/>
              <a:ext cx="133350" cy="133350"/>
            </a:xfrm>
            <a:prstGeom prst="rect">
              <a:avLst/>
            </a:prstGeom>
          </xdr:spPr>
        </xdr:pic>
      </xdr:grpSp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12F9D6EA-7D76-0844-C86E-045E427E61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354675" y="438150"/>
            <a:ext cx="923925" cy="46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4" name="Graphic 73" descr="Pencil with solid fill">
            <a:extLst>
              <a:ext uri="{FF2B5EF4-FFF2-40B4-BE49-F238E27FC236}">
                <a16:creationId xmlns:a16="http://schemas.microsoft.com/office/drawing/2014/main" id="{6C56C389-D567-4402-0A90-974CD3F64D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>
            <a:extLst>
              <a:ext uri="{96DAC541-7B7A-43D3-8B79-37D633B846F1}">
                <asvg:svgBlip xmlns:asvg="http://schemas.microsoft.com/office/drawing/2016/SVG/main" r:embed="rId46"/>
              </a:ext>
            </a:extLst>
          </a:blip>
          <a:stretch>
            <a:fillRect/>
          </a:stretch>
        </xdr:blipFill>
        <xdr:spPr>
          <a:xfrm>
            <a:off x="19297650" y="409575"/>
            <a:ext cx="247650" cy="247650"/>
          </a:xfrm>
          <a:prstGeom prst="rect">
            <a:avLst/>
          </a:prstGeom>
        </xdr:spPr>
      </xdr:pic>
      <xdr:sp macro="" textlink="">
        <xdr:nvSpPr>
          <xdr:cNvPr id="116" name="Graphic 114" descr="Palette with solid fill">
            <a:extLst>
              <a:ext uri="{FF2B5EF4-FFF2-40B4-BE49-F238E27FC236}">
                <a16:creationId xmlns:a16="http://schemas.microsoft.com/office/drawing/2014/main" id="{361E487F-5867-B20E-04D5-4EDDC3FF2B78}"/>
              </a:ext>
            </a:extLst>
          </xdr:cNvPr>
          <xdr:cNvSpPr/>
        </xdr:nvSpPr>
        <xdr:spPr>
          <a:xfrm>
            <a:off x="19307174" y="675322"/>
            <a:ext cx="219075" cy="153353"/>
          </a:xfrm>
          <a:custGeom>
            <a:avLst/>
            <a:gdLst>
              <a:gd name="connsiteX0" fmla="*/ 666750 w 762000"/>
              <a:gd name="connsiteY0" fmla="*/ 295275 h 533400"/>
              <a:gd name="connsiteX1" fmla="*/ 619125 w 762000"/>
              <a:gd name="connsiteY1" fmla="*/ 261938 h 533400"/>
              <a:gd name="connsiteX2" fmla="*/ 666750 w 762000"/>
              <a:gd name="connsiteY2" fmla="*/ 228600 h 533400"/>
              <a:gd name="connsiteX3" fmla="*/ 714375 w 762000"/>
              <a:gd name="connsiteY3" fmla="*/ 261938 h 533400"/>
              <a:gd name="connsiteX4" fmla="*/ 666750 w 762000"/>
              <a:gd name="connsiteY4" fmla="*/ 295275 h 533400"/>
              <a:gd name="connsiteX5" fmla="*/ 619125 w 762000"/>
              <a:gd name="connsiteY5" fmla="*/ 400050 h 533400"/>
              <a:gd name="connsiteX6" fmla="*/ 571500 w 762000"/>
              <a:gd name="connsiteY6" fmla="*/ 366713 h 533400"/>
              <a:gd name="connsiteX7" fmla="*/ 619125 w 762000"/>
              <a:gd name="connsiteY7" fmla="*/ 333375 h 533400"/>
              <a:gd name="connsiteX8" fmla="*/ 666750 w 762000"/>
              <a:gd name="connsiteY8" fmla="*/ 366713 h 533400"/>
              <a:gd name="connsiteX9" fmla="*/ 619125 w 762000"/>
              <a:gd name="connsiteY9" fmla="*/ 400050 h 533400"/>
              <a:gd name="connsiteX10" fmla="*/ 514350 w 762000"/>
              <a:gd name="connsiteY10" fmla="*/ 133350 h 533400"/>
              <a:gd name="connsiteX11" fmla="*/ 466725 w 762000"/>
              <a:gd name="connsiteY11" fmla="*/ 100013 h 533400"/>
              <a:gd name="connsiteX12" fmla="*/ 514350 w 762000"/>
              <a:gd name="connsiteY12" fmla="*/ 66675 h 533400"/>
              <a:gd name="connsiteX13" fmla="*/ 561975 w 762000"/>
              <a:gd name="connsiteY13" fmla="*/ 100013 h 533400"/>
              <a:gd name="connsiteX14" fmla="*/ 514350 w 762000"/>
              <a:gd name="connsiteY14" fmla="*/ 133350 h 533400"/>
              <a:gd name="connsiteX15" fmla="*/ 514350 w 762000"/>
              <a:gd name="connsiteY15" fmla="*/ 457200 h 533400"/>
              <a:gd name="connsiteX16" fmla="*/ 466725 w 762000"/>
              <a:gd name="connsiteY16" fmla="*/ 423863 h 533400"/>
              <a:gd name="connsiteX17" fmla="*/ 514350 w 762000"/>
              <a:gd name="connsiteY17" fmla="*/ 390525 h 533400"/>
              <a:gd name="connsiteX18" fmla="*/ 561975 w 762000"/>
              <a:gd name="connsiteY18" fmla="*/ 423863 h 533400"/>
              <a:gd name="connsiteX19" fmla="*/ 514350 w 762000"/>
              <a:gd name="connsiteY19" fmla="*/ 457200 h 533400"/>
              <a:gd name="connsiteX20" fmla="*/ 381000 w 762000"/>
              <a:gd name="connsiteY20" fmla="*/ 485775 h 533400"/>
              <a:gd name="connsiteX21" fmla="*/ 333375 w 762000"/>
              <a:gd name="connsiteY21" fmla="*/ 452438 h 533400"/>
              <a:gd name="connsiteX22" fmla="*/ 381000 w 762000"/>
              <a:gd name="connsiteY22" fmla="*/ 419100 h 533400"/>
              <a:gd name="connsiteX23" fmla="*/ 428625 w 762000"/>
              <a:gd name="connsiteY23" fmla="*/ 452438 h 533400"/>
              <a:gd name="connsiteX24" fmla="*/ 381000 w 762000"/>
              <a:gd name="connsiteY24" fmla="*/ 485775 h 533400"/>
              <a:gd name="connsiteX25" fmla="*/ 329565 w 762000"/>
              <a:gd name="connsiteY25" fmla="*/ 100965 h 533400"/>
              <a:gd name="connsiteX26" fmla="*/ 375285 w 762000"/>
              <a:gd name="connsiteY26" fmla="*/ 93345 h 533400"/>
              <a:gd name="connsiteX27" fmla="*/ 367665 w 762000"/>
              <a:gd name="connsiteY27" fmla="*/ 139065 h 533400"/>
              <a:gd name="connsiteX28" fmla="*/ 321945 w 762000"/>
              <a:gd name="connsiteY28" fmla="*/ 146685 h 533400"/>
              <a:gd name="connsiteX29" fmla="*/ 329565 w 762000"/>
              <a:gd name="connsiteY29" fmla="*/ 100965 h 533400"/>
              <a:gd name="connsiteX30" fmla="*/ 247650 w 762000"/>
              <a:gd name="connsiteY30" fmla="*/ 466725 h 533400"/>
              <a:gd name="connsiteX31" fmla="*/ 200025 w 762000"/>
              <a:gd name="connsiteY31" fmla="*/ 433388 h 533400"/>
              <a:gd name="connsiteX32" fmla="*/ 247650 w 762000"/>
              <a:gd name="connsiteY32" fmla="*/ 400050 h 533400"/>
              <a:gd name="connsiteX33" fmla="*/ 295275 w 762000"/>
              <a:gd name="connsiteY33" fmla="*/ 433388 h 533400"/>
              <a:gd name="connsiteX34" fmla="*/ 247650 w 762000"/>
              <a:gd name="connsiteY34" fmla="*/ 466725 h 533400"/>
              <a:gd name="connsiteX35" fmla="*/ 619125 w 762000"/>
              <a:gd name="connsiteY35" fmla="*/ 133350 h 533400"/>
              <a:gd name="connsiteX36" fmla="*/ 666750 w 762000"/>
              <a:gd name="connsiteY36" fmla="*/ 166688 h 533400"/>
              <a:gd name="connsiteX37" fmla="*/ 619125 w 762000"/>
              <a:gd name="connsiteY37" fmla="*/ 200025 h 533400"/>
              <a:gd name="connsiteX38" fmla="*/ 571500 w 762000"/>
              <a:gd name="connsiteY38" fmla="*/ 166688 h 533400"/>
              <a:gd name="connsiteX39" fmla="*/ 619125 w 762000"/>
              <a:gd name="connsiteY39" fmla="*/ 133350 h 533400"/>
              <a:gd name="connsiteX40" fmla="*/ 381000 w 762000"/>
              <a:gd name="connsiteY40" fmla="*/ 0 h 533400"/>
              <a:gd name="connsiteX41" fmla="*/ 219075 w 762000"/>
              <a:gd name="connsiteY41" fmla="*/ 104775 h 533400"/>
              <a:gd name="connsiteX42" fmla="*/ 266700 w 762000"/>
              <a:gd name="connsiteY42" fmla="*/ 152400 h 533400"/>
              <a:gd name="connsiteX43" fmla="*/ 224790 w 762000"/>
              <a:gd name="connsiteY43" fmla="*/ 203835 h 533400"/>
              <a:gd name="connsiteX44" fmla="*/ 105728 w 762000"/>
              <a:gd name="connsiteY44" fmla="*/ 152400 h 533400"/>
              <a:gd name="connsiteX45" fmla="*/ 0 w 762000"/>
              <a:gd name="connsiteY45" fmla="*/ 266700 h 533400"/>
              <a:gd name="connsiteX46" fmla="*/ 381000 w 762000"/>
              <a:gd name="connsiteY46" fmla="*/ 533400 h 533400"/>
              <a:gd name="connsiteX47" fmla="*/ 762000 w 762000"/>
              <a:gd name="connsiteY47" fmla="*/ 266700 h 533400"/>
              <a:gd name="connsiteX48" fmla="*/ 381000 w 762000"/>
              <a:gd name="connsiteY48" fmla="*/ 0 h 5334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</a:cxnLst>
            <a:rect l="l" t="t" r="r" b="b"/>
            <a:pathLst>
              <a:path w="762000" h="533400">
                <a:moveTo>
                  <a:pt x="666750" y="295275"/>
                </a:moveTo>
                <a:cubicBezTo>
                  <a:pt x="640080" y="295275"/>
                  <a:pt x="619125" y="280035"/>
                  <a:pt x="619125" y="261938"/>
                </a:cubicBezTo>
                <a:cubicBezTo>
                  <a:pt x="619125" y="243840"/>
                  <a:pt x="640080" y="228600"/>
                  <a:pt x="666750" y="228600"/>
                </a:cubicBezTo>
                <a:cubicBezTo>
                  <a:pt x="693420" y="228600"/>
                  <a:pt x="714375" y="243840"/>
                  <a:pt x="714375" y="261938"/>
                </a:cubicBezTo>
                <a:cubicBezTo>
                  <a:pt x="714375" y="280035"/>
                  <a:pt x="693420" y="295275"/>
                  <a:pt x="666750" y="295275"/>
                </a:cubicBezTo>
                <a:close/>
                <a:moveTo>
                  <a:pt x="619125" y="400050"/>
                </a:moveTo>
                <a:cubicBezTo>
                  <a:pt x="592455" y="400050"/>
                  <a:pt x="571500" y="384810"/>
                  <a:pt x="571500" y="366713"/>
                </a:cubicBezTo>
                <a:cubicBezTo>
                  <a:pt x="571500" y="348615"/>
                  <a:pt x="592455" y="333375"/>
                  <a:pt x="619125" y="333375"/>
                </a:cubicBezTo>
                <a:cubicBezTo>
                  <a:pt x="645795" y="333375"/>
                  <a:pt x="666750" y="348615"/>
                  <a:pt x="666750" y="366713"/>
                </a:cubicBezTo>
                <a:cubicBezTo>
                  <a:pt x="666750" y="384810"/>
                  <a:pt x="645795" y="400050"/>
                  <a:pt x="619125" y="400050"/>
                </a:cubicBezTo>
                <a:close/>
                <a:moveTo>
                  <a:pt x="514350" y="133350"/>
                </a:moveTo>
                <a:cubicBezTo>
                  <a:pt x="487680" y="133350"/>
                  <a:pt x="466725" y="118110"/>
                  <a:pt x="466725" y="100013"/>
                </a:cubicBezTo>
                <a:cubicBezTo>
                  <a:pt x="466725" y="81915"/>
                  <a:pt x="487680" y="66675"/>
                  <a:pt x="514350" y="66675"/>
                </a:cubicBezTo>
                <a:cubicBezTo>
                  <a:pt x="541020" y="66675"/>
                  <a:pt x="561975" y="81915"/>
                  <a:pt x="561975" y="100013"/>
                </a:cubicBezTo>
                <a:cubicBezTo>
                  <a:pt x="561975" y="118110"/>
                  <a:pt x="541020" y="133350"/>
                  <a:pt x="514350" y="133350"/>
                </a:cubicBezTo>
                <a:close/>
                <a:moveTo>
                  <a:pt x="514350" y="457200"/>
                </a:moveTo>
                <a:cubicBezTo>
                  <a:pt x="487680" y="457200"/>
                  <a:pt x="466725" y="441960"/>
                  <a:pt x="466725" y="423863"/>
                </a:cubicBezTo>
                <a:cubicBezTo>
                  <a:pt x="466725" y="405765"/>
                  <a:pt x="487680" y="390525"/>
                  <a:pt x="514350" y="390525"/>
                </a:cubicBezTo>
                <a:cubicBezTo>
                  <a:pt x="541020" y="390525"/>
                  <a:pt x="561975" y="405765"/>
                  <a:pt x="561975" y="423863"/>
                </a:cubicBezTo>
                <a:cubicBezTo>
                  <a:pt x="561975" y="441960"/>
                  <a:pt x="541020" y="457200"/>
                  <a:pt x="514350" y="457200"/>
                </a:cubicBezTo>
                <a:close/>
                <a:moveTo>
                  <a:pt x="381000" y="485775"/>
                </a:moveTo>
                <a:cubicBezTo>
                  <a:pt x="354330" y="485775"/>
                  <a:pt x="333375" y="470535"/>
                  <a:pt x="333375" y="452438"/>
                </a:cubicBezTo>
                <a:cubicBezTo>
                  <a:pt x="333375" y="434340"/>
                  <a:pt x="354330" y="419100"/>
                  <a:pt x="381000" y="419100"/>
                </a:cubicBezTo>
                <a:cubicBezTo>
                  <a:pt x="407670" y="419100"/>
                  <a:pt x="428625" y="434340"/>
                  <a:pt x="428625" y="452438"/>
                </a:cubicBezTo>
                <a:cubicBezTo>
                  <a:pt x="428625" y="470535"/>
                  <a:pt x="407670" y="485775"/>
                  <a:pt x="381000" y="485775"/>
                </a:cubicBezTo>
                <a:close/>
                <a:moveTo>
                  <a:pt x="329565" y="100965"/>
                </a:moveTo>
                <a:cubicBezTo>
                  <a:pt x="344805" y="85725"/>
                  <a:pt x="364808" y="82868"/>
                  <a:pt x="375285" y="93345"/>
                </a:cubicBezTo>
                <a:cubicBezTo>
                  <a:pt x="385763" y="103823"/>
                  <a:pt x="381953" y="123825"/>
                  <a:pt x="367665" y="139065"/>
                </a:cubicBezTo>
                <a:cubicBezTo>
                  <a:pt x="352425" y="154305"/>
                  <a:pt x="332423" y="157163"/>
                  <a:pt x="321945" y="146685"/>
                </a:cubicBezTo>
                <a:cubicBezTo>
                  <a:pt x="310515" y="136208"/>
                  <a:pt x="314325" y="115252"/>
                  <a:pt x="329565" y="100965"/>
                </a:cubicBezTo>
                <a:close/>
                <a:moveTo>
                  <a:pt x="247650" y="466725"/>
                </a:moveTo>
                <a:cubicBezTo>
                  <a:pt x="220980" y="466725"/>
                  <a:pt x="200025" y="451485"/>
                  <a:pt x="200025" y="433388"/>
                </a:cubicBezTo>
                <a:cubicBezTo>
                  <a:pt x="200025" y="415290"/>
                  <a:pt x="220980" y="400050"/>
                  <a:pt x="247650" y="400050"/>
                </a:cubicBezTo>
                <a:cubicBezTo>
                  <a:pt x="274320" y="400050"/>
                  <a:pt x="295275" y="415290"/>
                  <a:pt x="295275" y="433388"/>
                </a:cubicBezTo>
                <a:cubicBezTo>
                  <a:pt x="295275" y="451485"/>
                  <a:pt x="274320" y="466725"/>
                  <a:pt x="247650" y="466725"/>
                </a:cubicBezTo>
                <a:close/>
                <a:moveTo>
                  <a:pt x="619125" y="133350"/>
                </a:moveTo>
                <a:cubicBezTo>
                  <a:pt x="645795" y="133350"/>
                  <a:pt x="666750" y="148590"/>
                  <a:pt x="666750" y="166688"/>
                </a:cubicBezTo>
                <a:cubicBezTo>
                  <a:pt x="666750" y="184785"/>
                  <a:pt x="645795" y="200025"/>
                  <a:pt x="619125" y="200025"/>
                </a:cubicBezTo>
                <a:cubicBezTo>
                  <a:pt x="592455" y="200025"/>
                  <a:pt x="571500" y="184785"/>
                  <a:pt x="571500" y="166688"/>
                </a:cubicBezTo>
                <a:cubicBezTo>
                  <a:pt x="571500" y="148590"/>
                  <a:pt x="592455" y="133350"/>
                  <a:pt x="619125" y="133350"/>
                </a:cubicBezTo>
                <a:close/>
                <a:moveTo>
                  <a:pt x="381000" y="0"/>
                </a:moveTo>
                <a:cubicBezTo>
                  <a:pt x="164783" y="0"/>
                  <a:pt x="199073" y="84773"/>
                  <a:pt x="219075" y="104775"/>
                </a:cubicBezTo>
                <a:lnTo>
                  <a:pt x="266700" y="152400"/>
                </a:lnTo>
                <a:cubicBezTo>
                  <a:pt x="297180" y="183833"/>
                  <a:pt x="260033" y="219075"/>
                  <a:pt x="224790" y="203835"/>
                </a:cubicBezTo>
                <a:lnTo>
                  <a:pt x="105728" y="152400"/>
                </a:lnTo>
                <a:cubicBezTo>
                  <a:pt x="21908" y="116205"/>
                  <a:pt x="0" y="218123"/>
                  <a:pt x="0" y="266700"/>
                </a:cubicBezTo>
                <a:cubicBezTo>
                  <a:pt x="0" y="414338"/>
                  <a:pt x="170498" y="533400"/>
                  <a:pt x="381000" y="533400"/>
                </a:cubicBezTo>
                <a:cubicBezTo>
                  <a:pt x="591503" y="533400"/>
                  <a:pt x="762000" y="414338"/>
                  <a:pt x="762000" y="266700"/>
                </a:cubicBezTo>
                <a:cubicBezTo>
                  <a:pt x="762000" y="119063"/>
                  <a:pt x="591503" y="0"/>
                  <a:pt x="381000" y="0"/>
                </a:cubicBezTo>
                <a:close/>
              </a:path>
            </a:pathLst>
          </a:custGeom>
          <a:gradFill>
            <a:gsLst>
              <a:gs pos="0">
                <a:srgbClr val="00B0F0"/>
              </a:gs>
              <a:gs pos="36000">
                <a:schemeClr val="accent6">
                  <a:lumMod val="40000"/>
                  <a:lumOff val="60000"/>
                </a:schemeClr>
              </a:gs>
              <a:gs pos="68000">
                <a:srgbClr val="FFFF00"/>
              </a:gs>
              <a:gs pos="100000">
                <a:srgbClr val="FF0000"/>
              </a:gs>
            </a:gsLst>
            <a:lin ang="5400000" scaled="1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8598BF6E-139D-F9B0-4C1D-C33F420A6709}"/>
              </a:ext>
            </a:extLst>
          </xdr:cNvPr>
          <xdr:cNvSpPr/>
        </xdr:nvSpPr>
        <xdr:spPr>
          <a:xfrm>
            <a:off x="20193000" y="219075"/>
            <a:ext cx="971550" cy="1905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chemeClr val="tx1"/>
                </a:solidFill>
              </a:rPr>
              <a:t>START</a:t>
            </a: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4F92EB76-4134-FBF5-FE67-12166DED778A}"/>
              </a:ext>
            </a:extLst>
          </xdr:cNvPr>
          <xdr:cNvSpPr/>
        </xdr:nvSpPr>
        <xdr:spPr>
          <a:xfrm>
            <a:off x="18345150" y="228600"/>
            <a:ext cx="971550" cy="190500"/>
          </a:xfrm>
          <a:prstGeom prst="rect">
            <a:avLst/>
          </a:prstGeom>
          <a:solidFill>
            <a:srgbClr val="FF0000"/>
          </a:soli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MAIN</a:t>
            </a:r>
            <a:r>
              <a:rPr lang="en-US" sz="1100" baseline="0"/>
              <a:t> MENU</a:t>
            </a:r>
            <a:endParaRPr lang="en-US" sz="1100"/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7CA0FAD4-F38D-D918-6D0E-B168FC6E12FE}"/>
              </a:ext>
            </a:extLst>
          </xdr:cNvPr>
          <xdr:cNvSpPr/>
        </xdr:nvSpPr>
        <xdr:spPr>
          <a:xfrm>
            <a:off x="18307050" y="904874"/>
            <a:ext cx="1371600" cy="239059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chemeClr val="tx1"/>
                </a:solidFill>
              </a:rPr>
              <a:t>PICK</a:t>
            </a:r>
            <a:r>
              <a:rPr lang="en-US" sz="1000" baseline="0">
                <a:solidFill>
                  <a:schemeClr val="tx1"/>
                </a:solidFill>
              </a:rPr>
              <a:t> RANDOM WORDS</a:t>
            </a:r>
            <a:endParaRPr lang="en-US" sz="10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107</xdr:col>
      <xdr:colOff>95250</xdr:colOff>
      <xdr:row>0</xdr:row>
      <xdr:rowOff>142875</xdr:rowOff>
    </xdr:from>
    <xdr:to>
      <xdr:col>120</xdr:col>
      <xdr:colOff>116845</xdr:colOff>
      <xdr:row>24</xdr:row>
      <xdr:rowOff>209550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05FF0A89-21CD-DFC8-431B-5CB1FD03883C}"/>
            </a:ext>
          </a:extLst>
        </xdr:cNvPr>
        <xdr:cNvGrpSpPr/>
      </xdr:nvGrpSpPr>
      <xdr:grpSpPr>
        <a:xfrm>
          <a:off x="24555450" y="142875"/>
          <a:ext cx="2993395" cy="5553075"/>
          <a:chOff x="24555450" y="142875"/>
          <a:chExt cx="2993395" cy="5553075"/>
        </a:xfrm>
      </xdr:grpSpPr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345BBAA6-3C41-12EE-7EC6-645C9ACEE51C}"/>
              </a:ext>
            </a:extLst>
          </xdr:cNvPr>
          <xdr:cNvGrpSpPr/>
        </xdr:nvGrpSpPr>
        <xdr:grpSpPr>
          <a:xfrm>
            <a:off x="24564975" y="1114425"/>
            <a:ext cx="2981325" cy="4581525"/>
            <a:chOff x="24564975" y="428625"/>
            <a:chExt cx="2981325" cy="4581525"/>
          </a:xfrm>
        </xdr:grpSpPr>
        <xdr:pic>
          <xdr:nvPicPr>
            <xdr:cNvPr id="87" name="Picture 86">
              <a:extLst>
                <a:ext uri="{FF2B5EF4-FFF2-40B4-BE49-F238E27FC236}">
                  <a16:creationId xmlns:a16="http://schemas.microsoft.com/office/drawing/2014/main" id="{7DB7297E-F36E-508B-F3BE-4084AFC3699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4564975" y="428625"/>
              <a:ext cx="2981325" cy="45815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5E9A9279-F238-E029-9BB0-CA160FF9A4AD}"/>
                </a:ext>
              </a:extLst>
            </xdr:cNvPr>
            <xdr:cNvSpPr/>
          </xdr:nvSpPr>
          <xdr:spPr>
            <a:xfrm>
              <a:off x="24612600" y="1323975"/>
              <a:ext cx="1333500" cy="22860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84" name="Group 83">
              <a:extLst>
                <a:ext uri="{FF2B5EF4-FFF2-40B4-BE49-F238E27FC236}">
                  <a16:creationId xmlns:a16="http://schemas.microsoft.com/office/drawing/2014/main" id="{799E3DB0-C162-4E07-6BEE-2DB847A6766C}"/>
                </a:ext>
              </a:extLst>
            </xdr:cNvPr>
            <xdr:cNvGrpSpPr/>
          </xdr:nvGrpSpPr>
          <xdr:grpSpPr>
            <a:xfrm>
              <a:off x="24869775" y="895350"/>
              <a:ext cx="1162050" cy="1600200"/>
              <a:chOff x="16640175" y="4819650"/>
              <a:chExt cx="1162050" cy="1600200"/>
            </a:xfrm>
          </xdr:grpSpPr>
          <xdr:grpSp>
            <xdr:nvGrpSpPr>
              <xdr:cNvPr id="82" name="Group 81">
                <a:extLst>
                  <a:ext uri="{FF2B5EF4-FFF2-40B4-BE49-F238E27FC236}">
                    <a16:creationId xmlns:a16="http://schemas.microsoft.com/office/drawing/2014/main" id="{06D5F729-D212-3348-7B05-9C79AB433679}"/>
                  </a:ext>
                </a:extLst>
              </xdr:cNvPr>
              <xdr:cNvGrpSpPr/>
            </xdr:nvGrpSpPr>
            <xdr:grpSpPr>
              <a:xfrm>
                <a:off x="16697325" y="5038725"/>
                <a:ext cx="952500" cy="1381125"/>
                <a:chOff x="16459200" y="4914900"/>
                <a:chExt cx="952500" cy="1381125"/>
              </a:xfrm>
            </xdr:grpSpPr>
            <xdr:sp macro="" textlink="">
              <xdr:nvSpPr>
                <xdr:cNvPr id="75" name="Rectangle 74">
                  <a:extLst>
                    <a:ext uri="{FF2B5EF4-FFF2-40B4-BE49-F238E27FC236}">
                      <a16:creationId xmlns:a16="http://schemas.microsoft.com/office/drawing/2014/main" id="{AD97A553-72E5-1C07-52FE-C166EED79E10}"/>
                    </a:ext>
                  </a:extLst>
                </xdr:cNvPr>
                <xdr:cNvSpPr/>
              </xdr:nvSpPr>
              <xdr:spPr>
                <a:xfrm>
                  <a:off x="16468725" y="4924425"/>
                  <a:ext cx="942975" cy="1362075"/>
                </a:xfrm>
                <a:prstGeom prst="rect">
                  <a:avLst/>
                </a:prstGeom>
                <a:solidFill>
                  <a:schemeClr val="bg2">
                    <a:lumMod val="9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81" name="Picture 80">
                  <a:extLst>
                    <a:ext uri="{FF2B5EF4-FFF2-40B4-BE49-F238E27FC236}">
                      <a16:creationId xmlns:a16="http://schemas.microsoft.com/office/drawing/2014/main" id="{6C0E2CF9-4876-6100-C529-E33B5AD80B28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38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16459200" y="4914900"/>
                  <a:ext cx="466725" cy="138112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</xdr:grpSp>
          <xdr:sp macro="" textlink="">
            <xdr:nvSpPr>
              <xdr:cNvPr id="83" name="Rectangle 82">
                <a:extLst>
                  <a:ext uri="{FF2B5EF4-FFF2-40B4-BE49-F238E27FC236}">
                    <a16:creationId xmlns:a16="http://schemas.microsoft.com/office/drawing/2014/main" id="{D562652C-10CC-356F-8911-B0403CC7691C}"/>
                  </a:ext>
                </a:extLst>
              </xdr:cNvPr>
              <xdr:cNvSpPr/>
            </xdr:nvSpPr>
            <xdr:spPr>
              <a:xfrm>
                <a:off x="16640175" y="4819650"/>
                <a:ext cx="1162050" cy="238125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1100" b="1">
                    <a:solidFill>
                      <a:sysClr val="windowText" lastClr="000000"/>
                    </a:solidFill>
                  </a:rPr>
                  <a:t>RA</a:t>
                </a:r>
              </a:p>
            </xdr:txBody>
          </xdr:sp>
        </xdr:grpSp>
      </xdr:grpSp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72E3FBC9-53AA-6718-C728-E97E266DB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24555450" y="142875"/>
            <a:ext cx="2993395" cy="987638"/>
          </a:xfrm>
          <a:prstGeom prst="rect">
            <a:avLst/>
          </a:prstGeom>
        </xdr:spPr>
      </xdr:pic>
    </xdr:grpSp>
    <xdr:clientData/>
  </xdr:twoCellAnchor>
  <xdr:twoCellAnchor editAs="oneCell">
    <xdr:from>
      <xdr:col>99</xdr:col>
      <xdr:colOff>0</xdr:colOff>
      <xdr:row>27</xdr:row>
      <xdr:rowOff>0</xdr:rowOff>
    </xdr:from>
    <xdr:to>
      <xdr:col>112</xdr:col>
      <xdr:colOff>9525</xdr:colOff>
      <xdr:row>51</xdr:row>
      <xdr:rowOff>9525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CA3D3BF-1206-8F19-3396-07AFDE3A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1400" y="6172200"/>
          <a:ext cx="2981325" cy="549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51954</xdr:colOff>
      <xdr:row>22</xdr:row>
      <xdr:rowOff>69272</xdr:rowOff>
    </xdr:from>
    <xdr:to>
      <xdr:col>16</xdr:col>
      <xdr:colOff>103909</xdr:colOff>
      <xdr:row>35</xdr:row>
      <xdr:rowOff>103909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9C6A00A-044E-FFA7-54FC-47AD3D3C672F}"/>
            </a:ext>
          </a:extLst>
        </xdr:cNvPr>
        <xdr:cNvGrpSpPr/>
      </xdr:nvGrpSpPr>
      <xdr:grpSpPr>
        <a:xfrm>
          <a:off x="51954" y="7403522"/>
          <a:ext cx="5385955" cy="4368512"/>
          <a:chOff x="13854545" y="1939636"/>
          <a:chExt cx="5316682" cy="4312228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488E130-5948-2196-8A68-0C0115306D6E}"/>
              </a:ext>
            </a:extLst>
          </xdr:cNvPr>
          <xdr:cNvSpPr/>
        </xdr:nvSpPr>
        <xdr:spPr>
          <a:xfrm>
            <a:off x="13854545" y="1939636"/>
            <a:ext cx="5316682" cy="4312228"/>
          </a:xfrm>
          <a:prstGeom prst="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FCFBC0C-FBB9-9CCE-AB7C-B8ABF50FE630}"/>
              </a:ext>
            </a:extLst>
          </xdr:cNvPr>
          <xdr:cNvSpPr/>
        </xdr:nvSpPr>
        <xdr:spPr>
          <a:xfrm>
            <a:off x="13923818" y="2008910"/>
            <a:ext cx="5178136" cy="72736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chemeClr val="tx1"/>
                </a:solidFill>
              </a:rPr>
              <a:t>MARY'S</a:t>
            </a:r>
            <a:r>
              <a:rPr lang="en-US" sz="4000" baseline="0">
                <a:solidFill>
                  <a:schemeClr val="tx1"/>
                </a:solidFill>
              </a:rPr>
              <a:t> TURN</a:t>
            </a:r>
            <a:endParaRPr lang="en-US" sz="4000">
              <a:solidFill>
                <a:schemeClr val="tx1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8DAA736-6D51-348E-1C54-1530474B07B8}"/>
              </a:ext>
            </a:extLst>
          </xdr:cNvPr>
          <xdr:cNvSpPr/>
        </xdr:nvSpPr>
        <xdr:spPr>
          <a:xfrm>
            <a:off x="13975773" y="2802083"/>
            <a:ext cx="2528456" cy="727364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GUESS</a:t>
            </a:r>
            <a:r>
              <a:rPr lang="en-US" sz="2000" baseline="0">
                <a:solidFill>
                  <a:schemeClr val="tx1"/>
                </a:solidFill>
              </a:rPr>
              <a:t> LETTER:</a:t>
            </a:r>
            <a:endParaRPr lang="en-US" sz="2000">
              <a:solidFill>
                <a:schemeClr val="tx1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30FC5A2-46BA-E2C6-EE62-9F611134823C}"/>
              </a:ext>
            </a:extLst>
          </xdr:cNvPr>
          <xdr:cNvSpPr/>
        </xdr:nvSpPr>
        <xdr:spPr>
          <a:xfrm>
            <a:off x="13975774" y="3612574"/>
            <a:ext cx="2528456" cy="727364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GUESS</a:t>
            </a:r>
            <a:r>
              <a:rPr lang="en-US" sz="2000" baseline="0">
                <a:solidFill>
                  <a:schemeClr val="tx1"/>
                </a:solidFill>
              </a:rPr>
              <a:t> COORDINATE:</a:t>
            </a:r>
            <a:endParaRPr lang="en-US" sz="2000">
              <a:solidFill>
                <a:schemeClr val="tx1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C3F8322-ABD5-F56E-34AE-9A5F188DA658}"/>
              </a:ext>
            </a:extLst>
          </xdr:cNvPr>
          <xdr:cNvSpPr/>
        </xdr:nvSpPr>
        <xdr:spPr>
          <a:xfrm>
            <a:off x="13975772" y="4444192"/>
            <a:ext cx="2532888" cy="727364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GUESS WORD: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C0538304-7806-B6D3-06BD-B20098248D8E}"/>
              </a:ext>
            </a:extLst>
          </xdr:cNvPr>
          <xdr:cNvSpPr/>
        </xdr:nvSpPr>
        <xdr:spPr>
          <a:xfrm>
            <a:off x="16694728" y="2805545"/>
            <a:ext cx="796635" cy="73152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7BE9E222-A33E-5849-EBF9-C862B5210997}"/>
              </a:ext>
            </a:extLst>
          </xdr:cNvPr>
          <xdr:cNvSpPr/>
        </xdr:nvSpPr>
        <xdr:spPr>
          <a:xfrm>
            <a:off x="16691265" y="3616036"/>
            <a:ext cx="800099" cy="73152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600">
                <a:solidFill>
                  <a:schemeClr val="tx1"/>
                </a:solidFill>
              </a:rPr>
              <a:t>B6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A9A0270F-FABD-1B2C-F367-6DFDF6C3F6DE}"/>
              </a:ext>
            </a:extLst>
          </xdr:cNvPr>
          <xdr:cNvSpPr/>
        </xdr:nvSpPr>
        <xdr:spPr>
          <a:xfrm>
            <a:off x="16687799" y="4424796"/>
            <a:ext cx="2396837" cy="73152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618A64A8-9C2A-8C70-E12C-E6D9A1C509DE}"/>
              </a:ext>
            </a:extLst>
          </xdr:cNvPr>
          <xdr:cNvSpPr/>
        </xdr:nvSpPr>
        <xdr:spPr>
          <a:xfrm>
            <a:off x="14786263" y="5302829"/>
            <a:ext cx="1614054" cy="727364"/>
          </a:xfrm>
          <a:prstGeom prst="rect">
            <a:avLst/>
          </a:prstGeom>
          <a:solidFill>
            <a:srgbClr val="FF33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RESET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870A023-6CFF-A825-963D-6B5FD4607C49}"/>
              </a:ext>
            </a:extLst>
          </xdr:cNvPr>
          <xdr:cNvSpPr/>
        </xdr:nvSpPr>
        <xdr:spPr>
          <a:xfrm>
            <a:off x="16566572" y="5299365"/>
            <a:ext cx="1614054" cy="727364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CONFIRM</a:t>
            </a:r>
          </a:p>
        </xdr:txBody>
      </xdr:sp>
    </xdr:grpSp>
    <xdr:clientData/>
  </xdr:twoCellAnchor>
  <xdr:twoCellAnchor>
    <xdr:from>
      <xdr:col>21</xdr:col>
      <xdr:colOff>19691</xdr:colOff>
      <xdr:row>36</xdr:row>
      <xdr:rowOff>72919</xdr:rowOff>
    </xdr:from>
    <xdr:to>
      <xdr:col>23</xdr:col>
      <xdr:colOff>238285</xdr:colOff>
      <xdr:row>43</xdr:row>
      <xdr:rowOff>280788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6E730D86-289E-4092-A2FA-8C5E45B5153A}"/>
            </a:ext>
          </a:extLst>
        </xdr:cNvPr>
        <xdr:cNvGrpSpPr/>
      </xdr:nvGrpSpPr>
      <xdr:grpSpPr>
        <a:xfrm>
          <a:off x="7020566" y="12074419"/>
          <a:ext cx="885344" cy="2541494"/>
          <a:chOff x="2597203" y="4031717"/>
          <a:chExt cx="933210" cy="2687411"/>
        </a:xfrm>
      </xdr:grpSpPr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D9C45F4F-653D-F260-493E-A6B240353569}"/>
              </a:ext>
            </a:extLst>
          </xdr:cNvPr>
          <xdr:cNvGrpSpPr/>
        </xdr:nvGrpSpPr>
        <xdr:grpSpPr>
          <a:xfrm>
            <a:off x="2597203" y="4031717"/>
            <a:ext cx="933210" cy="1993447"/>
            <a:chOff x="3676650" y="3419475"/>
            <a:chExt cx="923925" cy="1981201"/>
          </a:xfrm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8821BCD9-6D1B-FEB4-73B4-55260637E36B}"/>
                </a:ext>
              </a:extLst>
            </xdr:cNvPr>
            <xdr:cNvSpPr/>
          </xdr:nvSpPr>
          <xdr:spPr>
            <a:xfrm flipH="1">
              <a:off x="3676650" y="34194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4FC6CE1B-7215-3DB4-12A6-AA2933D6A488}"/>
                </a:ext>
              </a:extLst>
            </xdr:cNvPr>
            <xdr:cNvSpPr/>
          </xdr:nvSpPr>
          <xdr:spPr>
            <a:xfrm flipH="1">
              <a:off x="3676650" y="51720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6A258E85-496C-C6BF-A4E6-7EC7D0EB0DFD}"/>
                </a:ext>
              </a:extLst>
            </xdr:cNvPr>
            <xdr:cNvSpPr/>
          </xdr:nvSpPr>
          <xdr:spPr>
            <a:xfrm flipH="1">
              <a:off x="3676650" y="4991100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11" name="Group 110">
              <a:extLst>
                <a:ext uri="{FF2B5EF4-FFF2-40B4-BE49-F238E27FC236}">
                  <a16:creationId xmlns:a16="http://schemas.microsoft.com/office/drawing/2014/main" id="{36EEC6E4-CEE5-F3CD-B979-789781BBEFC7}"/>
                </a:ext>
              </a:extLst>
            </xdr:cNvPr>
            <xdr:cNvGrpSpPr/>
          </xdr:nvGrpSpPr>
          <xdr:grpSpPr>
            <a:xfrm flipH="1">
              <a:off x="3676650" y="4067175"/>
              <a:ext cx="923925" cy="514350"/>
              <a:chOff x="3667125" y="923925"/>
              <a:chExt cx="923925" cy="514350"/>
            </a:xfrm>
          </xdr:grpSpPr>
          <xdr:sp macro="" textlink="">
            <xdr:nvSpPr>
              <xdr:cNvPr id="118" name="Rectangle 117">
                <a:extLst>
                  <a:ext uri="{FF2B5EF4-FFF2-40B4-BE49-F238E27FC236}">
                    <a16:creationId xmlns:a16="http://schemas.microsoft.com/office/drawing/2014/main" id="{B64B3BD3-55C6-9A31-0529-5DE09E29998A}"/>
                  </a:ext>
                </a:extLst>
              </xdr:cNvPr>
              <xdr:cNvSpPr/>
            </xdr:nvSpPr>
            <xdr:spPr>
              <a:xfrm>
                <a:off x="3667125" y="923925"/>
                <a:ext cx="923925" cy="219075"/>
              </a:xfrm>
              <a:prstGeom prst="rect">
                <a:avLst/>
              </a:prstGeom>
              <a:solidFill>
                <a:schemeClr val="accent2">
                  <a:lumMod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9" name="Flowchart: Manual Input 2">
                <a:extLst>
                  <a:ext uri="{FF2B5EF4-FFF2-40B4-BE49-F238E27FC236}">
                    <a16:creationId xmlns:a16="http://schemas.microsoft.com/office/drawing/2014/main" id="{DEDF1BB1-996F-6419-C3FD-62470A67F608}"/>
                  </a:ext>
                </a:extLst>
              </xdr:cNvPr>
              <xdr:cNvSpPr/>
            </xdr:nvSpPr>
            <xdr:spPr>
              <a:xfrm rot="10800000">
                <a:off x="3686174" y="1152520"/>
                <a:ext cx="886786" cy="285755"/>
              </a:xfrm>
              <a:custGeom>
                <a:avLst/>
                <a:gdLst>
                  <a:gd name="connsiteX0" fmla="*/ 0 w 10000"/>
                  <a:gd name="connsiteY0" fmla="*/ 2000 h 10000"/>
                  <a:gd name="connsiteX1" fmla="*/ 10000 w 10000"/>
                  <a:gd name="connsiteY1" fmla="*/ 0 h 10000"/>
                  <a:gd name="connsiteX2" fmla="*/ 10000 w 10000"/>
                  <a:gd name="connsiteY2" fmla="*/ 10000 h 10000"/>
                  <a:gd name="connsiteX3" fmla="*/ 0 w 10000"/>
                  <a:gd name="connsiteY3" fmla="*/ 10000 h 10000"/>
                  <a:gd name="connsiteX4" fmla="*/ 0 w 10000"/>
                  <a:gd name="connsiteY4" fmla="*/ 2000 h 10000"/>
                  <a:gd name="connsiteX0" fmla="*/ 0 w 10104"/>
                  <a:gd name="connsiteY0" fmla="*/ 4069 h 10000"/>
                  <a:gd name="connsiteX1" fmla="*/ 10104 w 10104"/>
                  <a:gd name="connsiteY1" fmla="*/ 0 h 10000"/>
                  <a:gd name="connsiteX2" fmla="*/ 10104 w 10104"/>
                  <a:gd name="connsiteY2" fmla="*/ 10000 h 10000"/>
                  <a:gd name="connsiteX3" fmla="*/ 104 w 10104"/>
                  <a:gd name="connsiteY3" fmla="*/ 10000 h 10000"/>
                  <a:gd name="connsiteX4" fmla="*/ 0 w 10104"/>
                  <a:gd name="connsiteY4" fmla="*/ 4069 h 10000"/>
                  <a:gd name="connsiteX0" fmla="*/ 316 w 10003"/>
                  <a:gd name="connsiteY0" fmla="*/ 4069 h 10000"/>
                  <a:gd name="connsiteX1" fmla="*/ 10003 w 10003"/>
                  <a:gd name="connsiteY1" fmla="*/ 0 h 10000"/>
                  <a:gd name="connsiteX2" fmla="*/ 10003 w 10003"/>
                  <a:gd name="connsiteY2" fmla="*/ 10000 h 10000"/>
                  <a:gd name="connsiteX3" fmla="*/ 3 w 10003"/>
                  <a:gd name="connsiteY3" fmla="*/ 10000 h 10000"/>
                  <a:gd name="connsiteX4" fmla="*/ 316 w 10003"/>
                  <a:gd name="connsiteY4" fmla="*/ 4069 h 10000"/>
                  <a:gd name="connsiteX0" fmla="*/ 11 w 9698"/>
                  <a:gd name="connsiteY0" fmla="*/ 4069 h 10345"/>
                  <a:gd name="connsiteX1" fmla="*/ 9698 w 9698"/>
                  <a:gd name="connsiteY1" fmla="*/ 0 h 10345"/>
                  <a:gd name="connsiteX2" fmla="*/ 9698 w 9698"/>
                  <a:gd name="connsiteY2" fmla="*/ 10000 h 10345"/>
                  <a:gd name="connsiteX3" fmla="*/ 10 w 9698"/>
                  <a:gd name="connsiteY3" fmla="*/ 10345 h 10345"/>
                  <a:gd name="connsiteX4" fmla="*/ 11 w 9698"/>
                  <a:gd name="connsiteY4" fmla="*/ 4069 h 1034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9698" h="10345">
                    <a:moveTo>
                      <a:pt x="11" y="4069"/>
                    </a:moveTo>
                    <a:lnTo>
                      <a:pt x="9698" y="0"/>
                    </a:lnTo>
                    <a:lnTo>
                      <a:pt x="9698" y="10000"/>
                    </a:lnTo>
                    <a:lnTo>
                      <a:pt x="10" y="10345"/>
                    </a:lnTo>
                    <a:cubicBezTo>
                      <a:pt x="-25" y="8368"/>
                      <a:pt x="46" y="6046"/>
                      <a:pt x="11" y="4069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003">
                <a:schemeClr val="lt2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12" name="Oval 111">
              <a:extLst>
                <a:ext uri="{FF2B5EF4-FFF2-40B4-BE49-F238E27FC236}">
                  <a16:creationId xmlns:a16="http://schemas.microsoft.com/office/drawing/2014/main" id="{D654813C-40A9-2682-D335-6D172A7345CF}"/>
                </a:ext>
              </a:extLst>
            </xdr:cNvPr>
            <xdr:cNvSpPr/>
          </xdr:nvSpPr>
          <xdr:spPr>
            <a:xfrm>
              <a:off x="3924300" y="4991100"/>
              <a:ext cx="438150" cy="409576"/>
            </a:xfrm>
            <a:prstGeom prst="ellipse">
              <a:avLst/>
            </a:prstGeom>
            <a:solidFill>
              <a:srgbClr val="00B0F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5BF5B339-89CF-0E42-08B0-F04D552DB8AB}"/>
                </a:ext>
              </a:extLst>
            </xdr:cNvPr>
            <xdr:cNvSpPr/>
          </xdr:nvSpPr>
          <xdr:spPr>
            <a:xfrm>
              <a:off x="3676651" y="3429001"/>
              <a:ext cx="133350" cy="1965960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8520A4EF-E9F8-34B9-2378-51CEE8B45E7B}"/>
                </a:ext>
              </a:extLst>
            </xdr:cNvPr>
            <xdr:cNvSpPr/>
          </xdr:nvSpPr>
          <xdr:spPr>
            <a:xfrm>
              <a:off x="4467225" y="3429001"/>
              <a:ext cx="133350" cy="1962149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5" name="Oval 114">
              <a:extLst>
                <a:ext uri="{FF2B5EF4-FFF2-40B4-BE49-F238E27FC236}">
                  <a16:creationId xmlns:a16="http://schemas.microsoft.com/office/drawing/2014/main" id="{65B0AF0C-DDFF-C81F-D829-9CF89D36F8FA}"/>
                </a:ext>
              </a:extLst>
            </xdr:cNvPr>
            <xdr:cNvSpPr/>
          </xdr:nvSpPr>
          <xdr:spPr>
            <a:xfrm>
              <a:off x="4021409" y="5085421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6" name="Oval 115">
              <a:extLst>
                <a:ext uri="{FF2B5EF4-FFF2-40B4-BE49-F238E27FC236}">
                  <a16:creationId xmlns:a16="http://schemas.microsoft.com/office/drawing/2014/main" id="{63F60A1F-68A1-E9F5-5C11-6DD6D06F53EA}"/>
                </a:ext>
              </a:extLst>
            </xdr:cNvPr>
            <xdr:cNvSpPr/>
          </xdr:nvSpPr>
          <xdr:spPr>
            <a:xfrm>
              <a:off x="4165445" y="5084492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Flowchart: Stored Data 116">
              <a:extLst>
                <a:ext uri="{FF2B5EF4-FFF2-40B4-BE49-F238E27FC236}">
                  <a16:creationId xmlns:a16="http://schemas.microsoft.com/office/drawing/2014/main" id="{BF2288FB-1C52-B229-31E7-2373AC03FF06}"/>
                </a:ext>
              </a:extLst>
            </xdr:cNvPr>
            <xdr:cNvSpPr/>
          </xdr:nvSpPr>
          <xdr:spPr>
            <a:xfrm rot="5400000">
              <a:off x="4105043" y="5210640"/>
              <a:ext cx="70624" cy="149612"/>
            </a:xfrm>
            <a:prstGeom prst="flowChartOnlineStorag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26132308-3946-1177-0CED-BA9E764DC945}"/>
              </a:ext>
            </a:extLst>
          </xdr:cNvPr>
          <xdr:cNvGrpSpPr/>
        </xdr:nvGrpSpPr>
        <xdr:grpSpPr>
          <a:xfrm>
            <a:off x="2597204" y="6070467"/>
            <a:ext cx="916482" cy="648661"/>
            <a:chOff x="3657601" y="2343150"/>
            <a:chExt cx="914400" cy="647700"/>
          </a:xfrm>
        </xdr:grpSpPr>
        <xdr:sp macro="" textlink="">
          <xdr:nvSpPr>
            <xdr:cNvPr id="106" name="Trapezoid 105">
              <a:extLst>
                <a:ext uri="{FF2B5EF4-FFF2-40B4-BE49-F238E27FC236}">
                  <a16:creationId xmlns:a16="http://schemas.microsoft.com/office/drawing/2014/main" id="{362D920F-8B8E-5400-D857-1E70721E7C44}"/>
                </a:ext>
              </a:extLst>
            </xdr:cNvPr>
            <xdr:cNvSpPr/>
          </xdr:nvSpPr>
          <xdr:spPr>
            <a:xfrm rot="10800000">
              <a:off x="3771900" y="2400300"/>
              <a:ext cx="704850" cy="590550"/>
            </a:xfrm>
            <a:prstGeom prst="trapezoid">
              <a:avLst/>
            </a:prstGeom>
            <a:pattFill prst="pct30">
              <a:fgClr>
                <a:schemeClr val="tx1"/>
              </a:fgClr>
              <a:bgClr>
                <a:schemeClr val="bg1"/>
              </a:bgClr>
            </a:patt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7" name="Flowchart: Terminator 106">
              <a:extLst>
                <a:ext uri="{FF2B5EF4-FFF2-40B4-BE49-F238E27FC236}">
                  <a16:creationId xmlns:a16="http://schemas.microsoft.com/office/drawing/2014/main" id="{824E036B-08BB-76B8-16CC-26FA12169843}"/>
                </a:ext>
              </a:extLst>
            </xdr:cNvPr>
            <xdr:cNvSpPr/>
          </xdr:nvSpPr>
          <xdr:spPr>
            <a:xfrm>
              <a:off x="3657601" y="2343150"/>
              <a:ext cx="914400" cy="85725"/>
            </a:xfrm>
            <a:prstGeom prst="flowChartTerminator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824A498B-0F0D-D10A-CFC3-C7282479087E}"/>
              </a:ext>
            </a:extLst>
          </xdr:cNvPr>
          <xdr:cNvCxnSpPr/>
        </xdr:nvCxnSpPr>
        <xdr:spPr>
          <a:xfrm>
            <a:off x="3410372" y="517031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244D62AB-EC45-776C-EA52-D404B97037D0}"/>
              </a:ext>
            </a:extLst>
          </xdr:cNvPr>
          <xdr:cNvCxnSpPr/>
        </xdr:nvCxnSpPr>
        <xdr:spPr>
          <a:xfrm>
            <a:off x="3410372" y="493899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2576FEFD-C9F2-C97C-632C-8C06EAB44203}"/>
              </a:ext>
            </a:extLst>
          </xdr:cNvPr>
          <xdr:cNvCxnSpPr/>
        </xdr:nvCxnSpPr>
        <xdr:spPr>
          <a:xfrm>
            <a:off x="3410372" y="5270613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92AC0EC8-86F7-8345-D53F-5327216EFC22}"/>
              </a:ext>
            </a:extLst>
          </xdr:cNvPr>
          <xdr:cNvCxnSpPr/>
        </xdr:nvCxnSpPr>
        <xdr:spPr>
          <a:xfrm>
            <a:off x="3410372" y="504881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1F3A6932-DDAE-29E8-1D91-20BA2CDB0ADF}"/>
              </a:ext>
            </a:extLst>
          </xdr:cNvPr>
          <xdr:cNvCxnSpPr/>
        </xdr:nvCxnSpPr>
        <xdr:spPr>
          <a:xfrm>
            <a:off x="3410372" y="4805587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4D3914BA-7C0B-D626-6B40-EDC06EA772E6}"/>
              </a:ext>
            </a:extLst>
          </xdr:cNvPr>
          <xdr:cNvCxnSpPr/>
        </xdr:nvCxnSpPr>
        <xdr:spPr>
          <a:xfrm>
            <a:off x="3410372" y="46981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35D03C06-03D1-D0BF-4719-DEB6E14C3DFF}"/>
              </a:ext>
            </a:extLst>
          </xdr:cNvPr>
          <xdr:cNvCxnSpPr/>
        </xdr:nvCxnSpPr>
        <xdr:spPr>
          <a:xfrm>
            <a:off x="3410372" y="447635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93D14A4A-8D70-1C63-EB78-B41EAC4B4F0B}"/>
              </a:ext>
            </a:extLst>
          </xdr:cNvPr>
          <xdr:cNvCxnSpPr/>
        </xdr:nvCxnSpPr>
        <xdr:spPr>
          <a:xfrm>
            <a:off x="3410372" y="4245034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679AA89C-D565-1D1C-D469-DEF3E911B019}"/>
              </a:ext>
            </a:extLst>
          </xdr:cNvPr>
          <xdr:cNvCxnSpPr/>
        </xdr:nvCxnSpPr>
        <xdr:spPr>
          <a:xfrm>
            <a:off x="3410372" y="457664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50B8BD85-0397-57F9-36DF-5570F87E23A6}"/>
              </a:ext>
            </a:extLst>
          </xdr:cNvPr>
          <xdr:cNvCxnSpPr/>
        </xdr:nvCxnSpPr>
        <xdr:spPr>
          <a:xfrm>
            <a:off x="3410372" y="43548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D1842AE3-1A4C-9FA8-B488-9437CB8D9B13}"/>
              </a:ext>
            </a:extLst>
          </xdr:cNvPr>
          <xdr:cNvCxnSpPr/>
        </xdr:nvCxnSpPr>
        <xdr:spPr>
          <a:xfrm>
            <a:off x="3410372" y="4123530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Arrow: Right 104">
            <a:extLst>
              <a:ext uri="{FF2B5EF4-FFF2-40B4-BE49-F238E27FC236}">
                <a16:creationId xmlns:a16="http://schemas.microsoft.com/office/drawing/2014/main" id="{4E96625C-93D7-4634-298C-32C3015AD2BE}"/>
              </a:ext>
            </a:extLst>
          </xdr:cNvPr>
          <xdr:cNvSpPr/>
        </xdr:nvSpPr>
        <xdr:spPr>
          <a:xfrm>
            <a:off x="3077063" y="4763627"/>
            <a:ext cx="303125" cy="67407"/>
          </a:xfrm>
          <a:prstGeom prst="rightArrow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33</xdr:col>
      <xdr:colOff>105640</xdr:colOff>
      <xdr:row>0</xdr:row>
      <xdr:rowOff>326881</xdr:rowOff>
    </xdr:from>
    <xdr:to>
      <xdr:col>75</xdr:col>
      <xdr:colOff>286616</xdr:colOff>
      <xdr:row>21</xdr:row>
      <xdr:rowOff>26843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14C68B82-CAB6-0895-C788-E110B1B00F29}"/>
            </a:ext>
          </a:extLst>
        </xdr:cNvPr>
        <xdr:cNvGrpSpPr/>
      </xdr:nvGrpSpPr>
      <xdr:grpSpPr>
        <a:xfrm>
          <a:off x="11107015" y="326881"/>
          <a:ext cx="14182726" cy="6700837"/>
          <a:chOff x="10964140" y="326881"/>
          <a:chExt cx="14000885" cy="6609917"/>
        </a:xfrm>
      </xdr:grpSpPr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D75ABE09-8E56-A38B-0D1B-8FA57C7672CD}"/>
              </a:ext>
            </a:extLst>
          </xdr:cNvPr>
          <xdr:cNvGrpSpPr/>
        </xdr:nvGrpSpPr>
        <xdr:grpSpPr>
          <a:xfrm>
            <a:off x="10964140" y="326881"/>
            <a:ext cx="13990320" cy="6604289"/>
            <a:chOff x="10946822" y="292245"/>
            <a:chExt cx="13990320" cy="6604289"/>
          </a:xfrm>
        </xdr:grpSpPr>
        <xdr:sp macro="" textlink="">
          <xdr:nvSpPr>
            <xdr:cNvPr id="120" name="Rectangle 119">
              <a:extLst>
                <a:ext uri="{FF2B5EF4-FFF2-40B4-BE49-F238E27FC236}">
                  <a16:creationId xmlns:a16="http://schemas.microsoft.com/office/drawing/2014/main" id="{79ABEA96-B32E-B49C-A77D-9CD5F428DF36}"/>
                </a:ext>
              </a:extLst>
            </xdr:cNvPr>
            <xdr:cNvSpPr/>
          </xdr:nvSpPr>
          <xdr:spPr>
            <a:xfrm>
              <a:off x="10946822" y="292245"/>
              <a:ext cx="13990320" cy="6583680"/>
            </a:xfrm>
            <a:prstGeom prst="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27" name="Group 126">
              <a:extLst>
                <a:ext uri="{FF2B5EF4-FFF2-40B4-BE49-F238E27FC236}">
                  <a16:creationId xmlns:a16="http://schemas.microsoft.com/office/drawing/2014/main" id="{665412C1-8D58-D758-4B09-CB34A7CBD37B}"/>
                </a:ext>
              </a:extLst>
            </xdr:cNvPr>
            <xdr:cNvGrpSpPr/>
          </xdr:nvGrpSpPr>
          <xdr:grpSpPr>
            <a:xfrm>
              <a:off x="15409973" y="306099"/>
              <a:ext cx="1594495" cy="4485044"/>
              <a:chOff x="6909955" y="8378536"/>
              <a:chExt cx="884450" cy="2487808"/>
            </a:xfrm>
          </xdr:grpSpPr>
          <xdr:grpSp>
            <xdr:nvGrpSpPr>
              <xdr:cNvPr id="75" name="Group 74">
                <a:extLst>
                  <a:ext uri="{FF2B5EF4-FFF2-40B4-BE49-F238E27FC236}">
                    <a16:creationId xmlns:a16="http://schemas.microsoft.com/office/drawing/2014/main" id="{6EAFCCFB-E1BC-4817-9B9A-1EEC040FAC44}"/>
                  </a:ext>
                </a:extLst>
              </xdr:cNvPr>
              <xdr:cNvGrpSpPr/>
            </xdr:nvGrpSpPr>
            <xdr:grpSpPr>
              <a:xfrm>
                <a:off x="6909955" y="8378536"/>
                <a:ext cx="884449" cy="1852691"/>
                <a:chOff x="3657600" y="904875"/>
                <a:chExt cx="923925" cy="1971676"/>
              </a:xfrm>
            </xdr:grpSpPr>
            <xdr:sp macro="" textlink="">
              <xdr:nvSpPr>
                <xdr:cNvPr id="76" name="Rectangle 75">
                  <a:extLst>
                    <a:ext uri="{FF2B5EF4-FFF2-40B4-BE49-F238E27FC236}">
                      <a16:creationId xmlns:a16="http://schemas.microsoft.com/office/drawing/2014/main" id="{F2ACB1E3-B838-B3BC-EDDA-A2599C678D1C}"/>
                    </a:ext>
                  </a:extLst>
                </xdr:cNvPr>
                <xdr:cNvSpPr/>
              </xdr:nvSpPr>
              <xdr:spPr>
                <a:xfrm flipH="1">
                  <a:off x="3657600" y="9048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77" name="Rectangle 76">
                  <a:extLst>
                    <a:ext uri="{FF2B5EF4-FFF2-40B4-BE49-F238E27FC236}">
                      <a16:creationId xmlns:a16="http://schemas.microsoft.com/office/drawing/2014/main" id="{EEDB2F8C-9844-2CB2-A08C-B5CF9612941E}"/>
                    </a:ext>
                  </a:extLst>
                </xdr:cNvPr>
                <xdr:cNvSpPr/>
              </xdr:nvSpPr>
              <xdr:spPr>
                <a:xfrm flipH="1">
                  <a:off x="3657600" y="2647950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78" name="Rectangle 77">
                  <a:extLst>
                    <a:ext uri="{FF2B5EF4-FFF2-40B4-BE49-F238E27FC236}">
                      <a16:creationId xmlns:a16="http://schemas.microsoft.com/office/drawing/2014/main" id="{3C259CC8-88A9-7B7C-DB62-4D68D7430BE3}"/>
                    </a:ext>
                  </a:extLst>
                </xdr:cNvPr>
                <xdr:cNvSpPr/>
              </xdr:nvSpPr>
              <xdr:spPr>
                <a:xfrm flipH="1">
                  <a:off x="3657600" y="24669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79" name="Group 78">
                  <a:extLst>
                    <a:ext uri="{FF2B5EF4-FFF2-40B4-BE49-F238E27FC236}">
                      <a16:creationId xmlns:a16="http://schemas.microsoft.com/office/drawing/2014/main" id="{251F1430-AD30-1B82-1441-3ED700297C15}"/>
                    </a:ext>
                  </a:extLst>
                </xdr:cNvPr>
                <xdr:cNvGrpSpPr/>
              </xdr:nvGrpSpPr>
              <xdr:grpSpPr>
                <a:xfrm flipH="1">
                  <a:off x="3657600" y="923925"/>
                  <a:ext cx="923925" cy="514350"/>
                  <a:chOff x="3667125" y="923925"/>
                  <a:chExt cx="923925" cy="514350"/>
                </a:xfrm>
                <a:solidFill>
                  <a:schemeClr val="accent1">
                    <a:lumMod val="20000"/>
                    <a:lumOff val="80000"/>
                  </a:schemeClr>
                </a:solidFill>
              </xdr:grpSpPr>
              <xdr:sp macro="" textlink="">
                <xdr:nvSpPr>
                  <xdr:cNvPr id="86" name="Rectangle 85">
                    <a:extLst>
                      <a:ext uri="{FF2B5EF4-FFF2-40B4-BE49-F238E27FC236}">
                        <a16:creationId xmlns:a16="http://schemas.microsoft.com/office/drawing/2014/main" id="{D23FD450-0FF0-72FC-B000-CFB7788CE714}"/>
                      </a:ext>
                    </a:extLst>
                  </xdr:cNvPr>
                  <xdr:cNvSpPr/>
                </xdr:nvSpPr>
                <xdr:spPr>
                  <a:xfrm>
                    <a:off x="3667125" y="923925"/>
                    <a:ext cx="923925" cy="219075"/>
                  </a:xfrm>
                  <a:prstGeom prst="rect">
                    <a:avLst/>
                  </a:prstGeom>
                  <a:solidFill>
                    <a:schemeClr val="accent2">
                      <a:lumMod val="5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87" name="Flowchart: Manual Input 2">
                    <a:extLst>
                      <a:ext uri="{FF2B5EF4-FFF2-40B4-BE49-F238E27FC236}">
                        <a16:creationId xmlns:a16="http://schemas.microsoft.com/office/drawing/2014/main" id="{BE85B85C-3E6D-0186-C760-F88EE6F966CF}"/>
                      </a:ext>
                    </a:extLst>
                  </xdr:cNvPr>
                  <xdr:cNvSpPr/>
                </xdr:nvSpPr>
                <xdr:spPr>
                  <a:xfrm rot="10800000">
                    <a:off x="3686174" y="1152520"/>
                    <a:ext cx="886786" cy="285755"/>
                  </a:xfrm>
                  <a:custGeom>
                    <a:avLst/>
                    <a:gdLst>
                      <a:gd name="connsiteX0" fmla="*/ 0 w 10000"/>
                      <a:gd name="connsiteY0" fmla="*/ 2000 h 10000"/>
                      <a:gd name="connsiteX1" fmla="*/ 10000 w 10000"/>
                      <a:gd name="connsiteY1" fmla="*/ 0 h 10000"/>
                      <a:gd name="connsiteX2" fmla="*/ 10000 w 10000"/>
                      <a:gd name="connsiteY2" fmla="*/ 10000 h 10000"/>
                      <a:gd name="connsiteX3" fmla="*/ 0 w 10000"/>
                      <a:gd name="connsiteY3" fmla="*/ 10000 h 10000"/>
                      <a:gd name="connsiteX4" fmla="*/ 0 w 10000"/>
                      <a:gd name="connsiteY4" fmla="*/ 2000 h 10000"/>
                      <a:gd name="connsiteX0" fmla="*/ 0 w 10104"/>
                      <a:gd name="connsiteY0" fmla="*/ 4069 h 10000"/>
                      <a:gd name="connsiteX1" fmla="*/ 10104 w 10104"/>
                      <a:gd name="connsiteY1" fmla="*/ 0 h 10000"/>
                      <a:gd name="connsiteX2" fmla="*/ 10104 w 10104"/>
                      <a:gd name="connsiteY2" fmla="*/ 10000 h 10000"/>
                      <a:gd name="connsiteX3" fmla="*/ 104 w 10104"/>
                      <a:gd name="connsiteY3" fmla="*/ 10000 h 10000"/>
                      <a:gd name="connsiteX4" fmla="*/ 0 w 10104"/>
                      <a:gd name="connsiteY4" fmla="*/ 4069 h 10000"/>
                      <a:gd name="connsiteX0" fmla="*/ 316 w 10003"/>
                      <a:gd name="connsiteY0" fmla="*/ 4069 h 10000"/>
                      <a:gd name="connsiteX1" fmla="*/ 10003 w 10003"/>
                      <a:gd name="connsiteY1" fmla="*/ 0 h 10000"/>
                      <a:gd name="connsiteX2" fmla="*/ 10003 w 10003"/>
                      <a:gd name="connsiteY2" fmla="*/ 10000 h 10000"/>
                      <a:gd name="connsiteX3" fmla="*/ 3 w 10003"/>
                      <a:gd name="connsiteY3" fmla="*/ 10000 h 10000"/>
                      <a:gd name="connsiteX4" fmla="*/ 316 w 10003"/>
                      <a:gd name="connsiteY4" fmla="*/ 4069 h 10000"/>
                      <a:gd name="connsiteX0" fmla="*/ 11 w 9698"/>
                      <a:gd name="connsiteY0" fmla="*/ 4069 h 10345"/>
                      <a:gd name="connsiteX1" fmla="*/ 9698 w 9698"/>
                      <a:gd name="connsiteY1" fmla="*/ 0 h 10345"/>
                      <a:gd name="connsiteX2" fmla="*/ 9698 w 9698"/>
                      <a:gd name="connsiteY2" fmla="*/ 10000 h 10345"/>
                      <a:gd name="connsiteX3" fmla="*/ 10 w 9698"/>
                      <a:gd name="connsiteY3" fmla="*/ 10345 h 10345"/>
                      <a:gd name="connsiteX4" fmla="*/ 11 w 9698"/>
                      <a:gd name="connsiteY4" fmla="*/ 4069 h 10345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</a:cxnLst>
                    <a:rect l="l" t="t" r="r" b="b"/>
                    <a:pathLst>
                      <a:path w="9698" h="10345">
                        <a:moveTo>
                          <a:pt x="11" y="4069"/>
                        </a:moveTo>
                        <a:lnTo>
                          <a:pt x="9698" y="0"/>
                        </a:lnTo>
                        <a:lnTo>
                          <a:pt x="9698" y="10000"/>
                        </a:lnTo>
                        <a:lnTo>
                          <a:pt x="10" y="10345"/>
                        </a:lnTo>
                        <a:cubicBezTo>
                          <a:pt x="-25" y="8368"/>
                          <a:pt x="46" y="6046"/>
                          <a:pt x="11" y="4069"/>
                        </a:cubicBezTo>
                        <a:close/>
                      </a:path>
                    </a:pathLst>
                  </a:custGeom>
                  <a:solidFill>
                    <a:schemeClr val="accent1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003">
                    <a:schemeClr val="lt2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80" name="Oval 79">
                  <a:extLst>
                    <a:ext uri="{FF2B5EF4-FFF2-40B4-BE49-F238E27FC236}">
                      <a16:creationId xmlns:a16="http://schemas.microsoft.com/office/drawing/2014/main" id="{3F096296-E9B6-5531-8DE2-718DA4A142E3}"/>
                    </a:ext>
                  </a:extLst>
                </xdr:cNvPr>
                <xdr:cNvSpPr/>
              </xdr:nvSpPr>
              <xdr:spPr>
                <a:xfrm>
                  <a:off x="3905250" y="2466975"/>
                  <a:ext cx="438150" cy="409576"/>
                </a:xfrm>
                <a:prstGeom prst="ellipse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1" name="Rectangle 80">
                  <a:extLst>
                    <a:ext uri="{FF2B5EF4-FFF2-40B4-BE49-F238E27FC236}">
                      <a16:creationId xmlns:a16="http://schemas.microsoft.com/office/drawing/2014/main" id="{94837586-AEF7-A5FF-D8AD-13AF799A40BB}"/>
                    </a:ext>
                  </a:extLst>
                </xdr:cNvPr>
                <xdr:cNvSpPr/>
              </xdr:nvSpPr>
              <xdr:spPr>
                <a:xfrm>
                  <a:off x="3657601" y="904876"/>
                  <a:ext cx="133350" cy="1965960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2" name="Rectangle 81">
                  <a:extLst>
                    <a:ext uri="{FF2B5EF4-FFF2-40B4-BE49-F238E27FC236}">
                      <a16:creationId xmlns:a16="http://schemas.microsoft.com/office/drawing/2014/main" id="{13FC588F-C15A-5BE6-7035-FA3F4B48AA35}"/>
                    </a:ext>
                  </a:extLst>
                </xdr:cNvPr>
                <xdr:cNvSpPr/>
              </xdr:nvSpPr>
              <xdr:spPr>
                <a:xfrm>
                  <a:off x="4448175" y="904876"/>
                  <a:ext cx="133350" cy="1962149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3" name="Oval 82">
                  <a:extLst>
                    <a:ext uri="{FF2B5EF4-FFF2-40B4-BE49-F238E27FC236}">
                      <a16:creationId xmlns:a16="http://schemas.microsoft.com/office/drawing/2014/main" id="{F1F3EA90-3D72-35D8-42C8-6CE38492A9D6}"/>
                    </a:ext>
                  </a:extLst>
                </xdr:cNvPr>
                <xdr:cNvSpPr/>
              </xdr:nvSpPr>
              <xdr:spPr>
                <a:xfrm>
                  <a:off x="4002359" y="2561296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4" name="Oval 83">
                  <a:extLst>
                    <a:ext uri="{FF2B5EF4-FFF2-40B4-BE49-F238E27FC236}">
                      <a16:creationId xmlns:a16="http://schemas.microsoft.com/office/drawing/2014/main" id="{CF4260EF-A04F-9E66-0F0C-9E9C8C934D24}"/>
                    </a:ext>
                  </a:extLst>
                </xdr:cNvPr>
                <xdr:cNvSpPr/>
              </xdr:nvSpPr>
              <xdr:spPr>
                <a:xfrm>
                  <a:off x="4146395" y="2560367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5" name="Flowchart: Stored Data 84">
                  <a:extLst>
                    <a:ext uri="{FF2B5EF4-FFF2-40B4-BE49-F238E27FC236}">
                      <a16:creationId xmlns:a16="http://schemas.microsoft.com/office/drawing/2014/main" id="{CA088A58-4206-8C82-87B9-9796C48C0A03}"/>
                    </a:ext>
                  </a:extLst>
                </xdr:cNvPr>
                <xdr:cNvSpPr/>
              </xdr:nvSpPr>
              <xdr:spPr>
                <a:xfrm rot="5400000">
                  <a:off x="4085993" y="2686515"/>
                  <a:ext cx="70624" cy="149612"/>
                </a:xfrm>
                <a:prstGeom prst="flowChartOnlineStorag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88" name="Group 87">
                <a:extLst>
                  <a:ext uri="{FF2B5EF4-FFF2-40B4-BE49-F238E27FC236}">
                    <a16:creationId xmlns:a16="http://schemas.microsoft.com/office/drawing/2014/main" id="{5A91DDE2-2CD9-4AEC-99CC-B85A6D19B433}"/>
                  </a:ext>
                </a:extLst>
              </xdr:cNvPr>
              <xdr:cNvGrpSpPr/>
            </xdr:nvGrpSpPr>
            <xdr:grpSpPr>
              <a:xfrm>
                <a:off x="6925645" y="10259801"/>
                <a:ext cx="868760" cy="606543"/>
                <a:chOff x="3657601" y="2343150"/>
                <a:chExt cx="914400" cy="647700"/>
              </a:xfrm>
            </xdr:grpSpPr>
            <xdr:sp macro="" textlink="">
              <xdr:nvSpPr>
                <xdr:cNvPr id="89" name="Trapezoid 88">
                  <a:extLst>
                    <a:ext uri="{FF2B5EF4-FFF2-40B4-BE49-F238E27FC236}">
                      <a16:creationId xmlns:a16="http://schemas.microsoft.com/office/drawing/2014/main" id="{F431CEC3-269E-A695-3966-A0C99E23F7E9}"/>
                    </a:ext>
                  </a:extLst>
                </xdr:cNvPr>
                <xdr:cNvSpPr/>
              </xdr:nvSpPr>
              <xdr:spPr>
                <a:xfrm rot="10800000">
                  <a:off x="3771900" y="2400300"/>
                  <a:ext cx="704850" cy="590550"/>
                </a:xfrm>
                <a:prstGeom prst="trapezoid">
                  <a:avLst/>
                </a:prstGeom>
                <a:pattFill prst="pct30">
                  <a:fgClr>
                    <a:schemeClr val="tx1"/>
                  </a:fgClr>
                  <a:bgClr>
                    <a:schemeClr val="bg1"/>
                  </a:bgClr>
                </a:patt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0" name="Flowchart: Terminator 89">
                  <a:extLst>
                    <a:ext uri="{FF2B5EF4-FFF2-40B4-BE49-F238E27FC236}">
                      <a16:creationId xmlns:a16="http://schemas.microsoft.com/office/drawing/2014/main" id="{0E274640-B01B-3E1D-34B6-7F465400C397}"/>
                    </a:ext>
                  </a:extLst>
                </xdr:cNvPr>
                <xdr:cNvSpPr/>
              </xdr:nvSpPr>
              <xdr:spPr>
                <a:xfrm>
                  <a:off x="3657601" y="2343150"/>
                  <a:ext cx="914400" cy="85725"/>
                </a:xfrm>
                <a:prstGeom prst="flowChartTerminator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pic>
          <xdr:nvPicPr>
            <xdr:cNvPr id="126" name="Picture 125">
              <a:extLst>
                <a:ext uri="{FF2B5EF4-FFF2-40B4-BE49-F238E27FC236}">
                  <a16:creationId xmlns:a16="http://schemas.microsoft.com/office/drawing/2014/main" id="{BC4CCD09-C697-7DA8-FA43-16DF3DD5257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994880" y="306099"/>
              <a:ext cx="4287116" cy="659043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" name="Picture 127">
              <a:extLst>
                <a:ext uri="{FF2B5EF4-FFF2-40B4-BE49-F238E27FC236}">
                  <a16:creationId xmlns:a16="http://schemas.microsoft.com/office/drawing/2014/main" id="{A37D4B0E-698C-4163-7D79-2C13609A2F0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132445" y="306099"/>
              <a:ext cx="1654752" cy="132570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132" name="Group 131">
              <a:extLst>
                <a:ext uri="{FF2B5EF4-FFF2-40B4-BE49-F238E27FC236}">
                  <a16:creationId xmlns:a16="http://schemas.microsoft.com/office/drawing/2014/main" id="{C4D279D7-A88E-9C17-9114-428D6A9F6787}"/>
                </a:ext>
              </a:extLst>
            </xdr:cNvPr>
            <xdr:cNvGrpSpPr/>
          </xdr:nvGrpSpPr>
          <xdr:grpSpPr>
            <a:xfrm>
              <a:off x="18915174" y="306099"/>
              <a:ext cx="1594495" cy="4485044"/>
              <a:chOff x="6909955" y="8378536"/>
              <a:chExt cx="884450" cy="2487808"/>
            </a:xfrm>
          </xdr:grpSpPr>
          <xdr:grpSp>
            <xdr:nvGrpSpPr>
              <xdr:cNvPr id="135" name="Group 134">
                <a:extLst>
                  <a:ext uri="{FF2B5EF4-FFF2-40B4-BE49-F238E27FC236}">
                    <a16:creationId xmlns:a16="http://schemas.microsoft.com/office/drawing/2014/main" id="{BF7F6F7F-83EF-192E-CE31-C7C8F16186F0}"/>
                  </a:ext>
                </a:extLst>
              </xdr:cNvPr>
              <xdr:cNvGrpSpPr/>
            </xdr:nvGrpSpPr>
            <xdr:grpSpPr>
              <a:xfrm>
                <a:off x="6909955" y="8378536"/>
                <a:ext cx="884449" cy="1852691"/>
                <a:chOff x="3657600" y="904875"/>
                <a:chExt cx="923925" cy="1971676"/>
              </a:xfrm>
            </xdr:grpSpPr>
            <xdr:sp macro="" textlink="">
              <xdr:nvSpPr>
                <xdr:cNvPr id="139" name="Rectangle 138">
                  <a:extLst>
                    <a:ext uri="{FF2B5EF4-FFF2-40B4-BE49-F238E27FC236}">
                      <a16:creationId xmlns:a16="http://schemas.microsoft.com/office/drawing/2014/main" id="{E737C054-C14D-7EE9-6342-2FD9D9CC4400}"/>
                    </a:ext>
                  </a:extLst>
                </xdr:cNvPr>
                <xdr:cNvSpPr/>
              </xdr:nvSpPr>
              <xdr:spPr>
                <a:xfrm flipH="1">
                  <a:off x="3657600" y="9048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0" name="Rectangle 139">
                  <a:extLst>
                    <a:ext uri="{FF2B5EF4-FFF2-40B4-BE49-F238E27FC236}">
                      <a16:creationId xmlns:a16="http://schemas.microsoft.com/office/drawing/2014/main" id="{F224F583-133A-1658-E87B-3AD4D5499855}"/>
                    </a:ext>
                  </a:extLst>
                </xdr:cNvPr>
                <xdr:cNvSpPr/>
              </xdr:nvSpPr>
              <xdr:spPr>
                <a:xfrm flipH="1">
                  <a:off x="3657600" y="2647950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1" name="Rectangle 140">
                  <a:extLst>
                    <a:ext uri="{FF2B5EF4-FFF2-40B4-BE49-F238E27FC236}">
                      <a16:creationId xmlns:a16="http://schemas.microsoft.com/office/drawing/2014/main" id="{0AB7FA53-B3A7-87A0-1D90-3649AED3F0E9}"/>
                    </a:ext>
                  </a:extLst>
                </xdr:cNvPr>
                <xdr:cNvSpPr/>
              </xdr:nvSpPr>
              <xdr:spPr>
                <a:xfrm flipH="1">
                  <a:off x="3657600" y="24669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142" name="Group 141">
                  <a:extLst>
                    <a:ext uri="{FF2B5EF4-FFF2-40B4-BE49-F238E27FC236}">
                      <a16:creationId xmlns:a16="http://schemas.microsoft.com/office/drawing/2014/main" id="{9E4BB7CD-464C-DD63-660A-3120714206CA}"/>
                    </a:ext>
                  </a:extLst>
                </xdr:cNvPr>
                <xdr:cNvGrpSpPr/>
              </xdr:nvGrpSpPr>
              <xdr:grpSpPr>
                <a:xfrm flipH="1">
                  <a:off x="3657600" y="923925"/>
                  <a:ext cx="923925" cy="514350"/>
                  <a:chOff x="3667125" y="923925"/>
                  <a:chExt cx="923925" cy="514350"/>
                </a:xfrm>
                <a:solidFill>
                  <a:schemeClr val="accent1">
                    <a:lumMod val="20000"/>
                    <a:lumOff val="80000"/>
                  </a:schemeClr>
                </a:solidFill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6CD1E90D-2DA0-CD33-CA1F-75553A64E91F}"/>
                      </a:ext>
                    </a:extLst>
                  </xdr:cNvPr>
                  <xdr:cNvSpPr/>
                </xdr:nvSpPr>
                <xdr:spPr>
                  <a:xfrm>
                    <a:off x="3667125" y="923925"/>
                    <a:ext cx="923925" cy="219075"/>
                  </a:xfrm>
                  <a:prstGeom prst="rect">
                    <a:avLst/>
                  </a:prstGeom>
                  <a:solidFill>
                    <a:schemeClr val="accent2">
                      <a:lumMod val="5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150" name="Flowchart: Manual Input 2">
                    <a:extLst>
                      <a:ext uri="{FF2B5EF4-FFF2-40B4-BE49-F238E27FC236}">
                        <a16:creationId xmlns:a16="http://schemas.microsoft.com/office/drawing/2014/main" id="{75240953-3A37-6B84-9EC5-EB3E524496FD}"/>
                      </a:ext>
                    </a:extLst>
                  </xdr:cNvPr>
                  <xdr:cNvSpPr/>
                </xdr:nvSpPr>
                <xdr:spPr>
                  <a:xfrm rot="10800000">
                    <a:off x="3686174" y="1152520"/>
                    <a:ext cx="886786" cy="285755"/>
                  </a:xfrm>
                  <a:custGeom>
                    <a:avLst/>
                    <a:gdLst>
                      <a:gd name="connsiteX0" fmla="*/ 0 w 10000"/>
                      <a:gd name="connsiteY0" fmla="*/ 2000 h 10000"/>
                      <a:gd name="connsiteX1" fmla="*/ 10000 w 10000"/>
                      <a:gd name="connsiteY1" fmla="*/ 0 h 10000"/>
                      <a:gd name="connsiteX2" fmla="*/ 10000 w 10000"/>
                      <a:gd name="connsiteY2" fmla="*/ 10000 h 10000"/>
                      <a:gd name="connsiteX3" fmla="*/ 0 w 10000"/>
                      <a:gd name="connsiteY3" fmla="*/ 10000 h 10000"/>
                      <a:gd name="connsiteX4" fmla="*/ 0 w 10000"/>
                      <a:gd name="connsiteY4" fmla="*/ 2000 h 10000"/>
                      <a:gd name="connsiteX0" fmla="*/ 0 w 10104"/>
                      <a:gd name="connsiteY0" fmla="*/ 4069 h 10000"/>
                      <a:gd name="connsiteX1" fmla="*/ 10104 w 10104"/>
                      <a:gd name="connsiteY1" fmla="*/ 0 h 10000"/>
                      <a:gd name="connsiteX2" fmla="*/ 10104 w 10104"/>
                      <a:gd name="connsiteY2" fmla="*/ 10000 h 10000"/>
                      <a:gd name="connsiteX3" fmla="*/ 104 w 10104"/>
                      <a:gd name="connsiteY3" fmla="*/ 10000 h 10000"/>
                      <a:gd name="connsiteX4" fmla="*/ 0 w 10104"/>
                      <a:gd name="connsiteY4" fmla="*/ 4069 h 10000"/>
                      <a:gd name="connsiteX0" fmla="*/ 316 w 10003"/>
                      <a:gd name="connsiteY0" fmla="*/ 4069 h 10000"/>
                      <a:gd name="connsiteX1" fmla="*/ 10003 w 10003"/>
                      <a:gd name="connsiteY1" fmla="*/ 0 h 10000"/>
                      <a:gd name="connsiteX2" fmla="*/ 10003 w 10003"/>
                      <a:gd name="connsiteY2" fmla="*/ 10000 h 10000"/>
                      <a:gd name="connsiteX3" fmla="*/ 3 w 10003"/>
                      <a:gd name="connsiteY3" fmla="*/ 10000 h 10000"/>
                      <a:gd name="connsiteX4" fmla="*/ 316 w 10003"/>
                      <a:gd name="connsiteY4" fmla="*/ 4069 h 10000"/>
                      <a:gd name="connsiteX0" fmla="*/ 11 w 9698"/>
                      <a:gd name="connsiteY0" fmla="*/ 4069 h 10345"/>
                      <a:gd name="connsiteX1" fmla="*/ 9698 w 9698"/>
                      <a:gd name="connsiteY1" fmla="*/ 0 h 10345"/>
                      <a:gd name="connsiteX2" fmla="*/ 9698 w 9698"/>
                      <a:gd name="connsiteY2" fmla="*/ 10000 h 10345"/>
                      <a:gd name="connsiteX3" fmla="*/ 10 w 9698"/>
                      <a:gd name="connsiteY3" fmla="*/ 10345 h 10345"/>
                      <a:gd name="connsiteX4" fmla="*/ 11 w 9698"/>
                      <a:gd name="connsiteY4" fmla="*/ 4069 h 10345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</a:cxnLst>
                    <a:rect l="l" t="t" r="r" b="b"/>
                    <a:pathLst>
                      <a:path w="9698" h="10345">
                        <a:moveTo>
                          <a:pt x="11" y="4069"/>
                        </a:moveTo>
                        <a:lnTo>
                          <a:pt x="9698" y="0"/>
                        </a:lnTo>
                        <a:lnTo>
                          <a:pt x="9698" y="10000"/>
                        </a:lnTo>
                        <a:lnTo>
                          <a:pt x="10" y="10345"/>
                        </a:lnTo>
                        <a:cubicBezTo>
                          <a:pt x="-25" y="8368"/>
                          <a:pt x="46" y="6046"/>
                          <a:pt x="11" y="4069"/>
                        </a:cubicBezTo>
                        <a:close/>
                      </a:path>
                    </a:pathLst>
                  </a:custGeom>
                  <a:solidFill>
                    <a:schemeClr val="accent1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003">
                    <a:schemeClr val="lt2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143" name="Oval 142">
                  <a:extLst>
                    <a:ext uri="{FF2B5EF4-FFF2-40B4-BE49-F238E27FC236}">
                      <a16:creationId xmlns:a16="http://schemas.microsoft.com/office/drawing/2014/main" id="{43F41022-585D-6384-A68A-4852EF9C67C9}"/>
                    </a:ext>
                  </a:extLst>
                </xdr:cNvPr>
                <xdr:cNvSpPr/>
              </xdr:nvSpPr>
              <xdr:spPr>
                <a:xfrm>
                  <a:off x="3905250" y="2466975"/>
                  <a:ext cx="438150" cy="409576"/>
                </a:xfrm>
                <a:prstGeom prst="ellipse">
                  <a:avLst/>
                </a:prstGeom>
                <a:solidFill>
                  <a:schemeClr val="accent2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4" name="Rectangle 143">
                  <a:extLst>
                    <a:ext uri="{FF2B5EF4-FFF2-40B4-BE49-F238E27FC236}">
                      <a16:creationId xmlns:a16="http://schemas.microsoft.com/office/drawing/2014/main" id="{DAFF2516-F9E9-B32B-C801-B226CA8BAD4D}"/>
                    </a:ext>
                  </a:extLst>
                </xdr:cNvPr>
                <xdr:cNvSpPr/>
              </xdr:nvSpPr>
              <xdr:spPr>
                <a:xfrm>
                  <a:off x="3657601" y="904876"/>
                  <a:ext cx="133350" cy="1965960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5" name="Rectangle 144">
                  <a:extLst>
                    <a:ext uri="{FF2B5EF4-FFF2-40B4-BE49-F238E27FC236}">
                      <a16:creationId xmlns:a16="http://schemas.microsoft.com/office/drawing/2014/main" id="{382388A9-388C-A580-322F-7D70E3DABA8E}"/>
                    </a:ext>
                  </a:extLst>
                </xdr:cNvPr>
                <xdr:cNvSpPr/>
              </xdr:nvSpPr>
              <xdr:spPr>
                <a:xfrm>
                  <a:off x="4448175" y="904876"/>
                  <a:ext cx="133350" cy="1962149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6" name="Oval 145">
                  <a:extLst>
                    <a:ext uri="{FF2B5EF4-FFF2-40B4-BE49-F238E27FC236}">
                      <a16:creationId xmlns:a16="http://schemas.microsoft.com/office/drawing/2014/main" id="{2DCE0105-E78E-E2BC-6EFF-1431A1873834}"/>
                    </a:ext>
                  </a:extLst>
                </xdr:cNvPr>
                <xdr:cNvSpPr/>
              </xdr:nvSpPr>
              <xdr:spPr>
                <a:xfrm>
                  <a:off x="4002359" y="2561296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7" name="Oval 146">
                  <a:extLst>
                    <a:ext uri="{FF2B5EF4-FFF2-40B4-BE49-F238E27FC236}">
                      <a16:creationId xmlns:a16="http://schemas.microsoft.com/office/drawing/2014/main" id="{086B03F4-7F7B-4A84-6D70-2F39E903AC80}"/>
                    </a:ext>
                  </a:extLst>
                </xdr:cNvPr>
                <xdr:cNvSpPr/>
              </xdr:nvSpPr>
              <xdr:spPr>
                <a:xfrm>
                  <a:off x="4146395" y="2560367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8" name="Flowchart: Stored Data 147">
                  <a:extLst>
                    <a:ext uri="{FF2B5EF4-FFF2-40B4-BE49-F238E27FC236}">
                      <a16:creationId xmlns:a16="http://schemas.microsoft.com/office/drawing/2014/main" id="{8BBA0AB6-0261-0D95-F17A-B708119EAFC4}"/>
                    </a:ext>
                  </a:extLst>
                </xdr:cNvPr>
                <xdr:cNvSpPr/>
              </xdr:nvSpPr>
              <xdr:spPr>
                <a:xfrm rot="5400000">
                  <a:off x="4085993" y="2686515"/>
                  <a:ext cx="70624" cy="149612"/>
                </a:xfrm>
                <a:prstGeom prst="flowChartOnlineStorag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36" name="Group 135">
                <a:extLst>
                  <a:ext uri="{FF2B5EF4-FFF2-40B4-BE49-F238E27FC236}">
                    <a16:creationId xmlns:a16="http://schemas.microsoft.com/office/drawing/2014/main" id="{B1410D17-579E-3E7A-238A-20B6B9AA6B5D}"/>
                  </a:ext>
                </a:extLst>
              </xdr:cNvPr>
              <xdr:cNvGrpSpPr/>
            </xdr:nvGrpSpPr>
            <xdr:grpSpPr>
              <a:xfrm>
                <a:off x="6925645" y="10259801"/>
                <a:ext cx="868760" cy="606543"/>
                <a:chOff x="3657601" y="2343150"/>
                <a:chExt cx="914400" cy="647700"/>
              </a:xfrm>
            </xdr:grpSpPr>
            <xdr:sp macro="" textlink="">
              <xdr:nvSpPr>
                <xdr:cNvPr id="137" name="Trapezoid 136">
                  <a:extLst>
                    <a:ext uri="{FF2B5EF4-FFF2-40B4-BE49-F238E27FC236}">
                      <a16:creationId xmlns:a16="http://schemas.microsoft.com/office/drawing/2014/main" id="{436A09B3-F5CE-D66F-DD36-5CC0D1B61D56}"/>
                    </a:ext>
                  </a:extLst>
                </xdr:cNvPr>
                <xdr:cNvSpPr/>
              </xdr:nvSpPr>
              <xdr:spPr>
                <a:xfrm rot="10800000">
                  <a:off x="3771900" y="2400300"/>
                  <a:ext cx="704850" cy="590550"/>
                </a:xfrm>
                <a:prstGeom prst="trapezoid">
                  <a:avLst/>
                </a:prstGeom>
                <a:pattFill prst="pct30">
                  <a:fgClr>
                    <a:schemeClr val="tx1"/>
                  </a:fgClr>
                  <a:bgClr>
                    <a:schemeClr val="bg1"/>
                  </a:bgClr>
                </a:patt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8" name="Flowchart: Terminator 137">
                  <a:extLst>
                    <a:ext uri="{FF2B5EF4-FFF2-40B4-BE49-F238E27FC236}">
                      <a16:creationId xmlns:a16="http://schemas.microsoft.com/office/drawing/2014/main" id="{F6654A6E-C754-9121-701E-490917AFE306}"/>
                    </a:ext>
                  </a:extLst>
                </xdr:cNvPr>
                <xdr:cNvSpPr/>
              </xdr:nvSpPr>
              <xdr:spPr>
                <a:xfrm>
                  <a:off x="3657601" y="2343150"/>
                  <a:ext cx="914400" cy="85725"/>
                </a:xfrm>
                <a:prstGeom prst="flowChartTerminator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pic>
        <xdr:nvPicPr>
          <xdr:cNvPr id="158" name="Picture 157">
            <a:extLst>
              <a:ext uri="{FF2B5EF4-FFF2-40B4-BE49-F238E27FC236}">
                <a16:creationId xmlns:a16="http://schemas.microsoft.com/office/drawing/2014/main" id="{116F5A12-BA26-526B-6B37-93F3270C08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77909" y="346364"/>
            <a:ext cx="4287116" cy="65904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78</xdr:col>
      <xdr:colOff>0</xdr:colOff>
      <xdr:row>9</xdr:row>
      <xdr:rowOff>0</xdr:rowOff>
    </xdr:from>
    <xdr:to>
      <xdr:col>120</xdr:col>
      <xdr:colOff>189912</xdr:colOff>
      <xdr:row>29</xdr:row>
      <xdr:rowOff>33824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71C03577-D5DC-6F5F-39A9-1ED0C916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665545" y="2961409"/>
          <a:ext cx="14009822" cy="66147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54348</xdr:colOff>
      <xdr:row>0</xdr:row>
      <xdr:rowOff>54349</xdr:rowOff>
    </xdr:from>
    <xdr:to>
      <xdr:col>16</xdr:col>
      <xdr:colOff>7844</xdr:colOff>
      <xdr:row>9</xdr:row>
      <xdr:rowOff>141196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pSpPr/>
      </xdr:nvGrpSpPr>
      <xdr:grpSpPr>
        <a:xfrm>
          <a:off x="2502273" y="54349"/>
          <a:ext cx="912159" cy="1935818"/>
          <a:chOff x="3657600" y="904875"/>
          <a:chExt cx="923925" cy="1971676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 flipH="1">
            <a:off x="3657600" y="904875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 flipH="1">
            <a:off x="3657600" y="2647950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 flipH="1">
            <a:off x="3657600" y="2466975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 flipH="1">
            <a:off x="3657600" y="923925"/>
            <a:ext cx="923925" cy="514350"/>
            <a:chOff x="3667125" y="923925"/>
            <a:chExt cx="923925" cy="514350"/>
          </a:xfrm>
          <a:solidFill>
            <a:schemeClr val="accent1">
              <a:lumMod val="20000"/>
              <a:lumOff val="80000"/>
            </a:schemeClr>
          </a:solidFill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>
            <a:xfrm>
              <a:off x="3667125" y="92392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Flowchart: Manual Input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>
            <a:xfrm rot="10800000">
              <a:off x="3686174" y="1152520"/>
              <a:ext cx="886786" cy="285755"/>
            </a:xfrm>
            <a:custGeom>
              <a:avLst/>
              <a:gdLst>
                <a:gd name="connsiteX0" fmla="*/ 0 w 10000"/>
                <a:gd name="connsiteY0" fmla="*/ 2000 h 10000"/>
                <a:gd name="connsiteX1" fmla="*/ 10000 w 10000"/>
                <a:gd name="connsiteY1" fmla="*/ 0 h 10000"/>
                <a:gd name="connsiteX2" fmla="*/ 10000 w 10000"/>
                <a:gd name="connsiteY2" fmla="*/ 10000 h 10000"/>
                <a:gd name="connsiteX3" fmla="*/ 0 w 10000"/>
                <a:gd name="connsiteY3" fmla="*/ 10000 h 10000"/>
                <a:gd name="connsiteX4" fmla="*/ 0 w 10000"/>
                <a:gd name="connsiteY4" fmla="*/ 2000 h 10000"/>
                <a:gd name="connsiteX0" fmla="*/ 0 w 10104"/>
                <a:gd name="connsiteY0" fmla="*/ 4069 h 10000"/>
                <a:gd name="connsiteX1" fmla="*/ 10104 w 10104"/>
                <a:gd name="connsiteY1" fmla="*/ 0 h 10000"/>
                <a:gd name="connsiteX2" fmla="*/ 10104 w 10104"/>
                <a:gd name="connsiteY2" fmla="*/ 10000 h 10000"/>
                <a:gd name="connsiteX3" fmla="*/ 104 w 10104"/>
                <a:gd name="connsiteY3" fmla="*/ 10000 h 10000"/>
                <a:gd name="connsiteX4" fmla="*/ 0 w 10104"/>
                <a:gd name="connsiteY4" fmla="*/ 4069 h 10000"/>
                <a:gd name="connsiteX0" fmla="*/ 316 w 10003"/>
                <a:gd name="connsiteY0" fmla="*/ 4069 h 10000"/>
                <a:gd name="connsiteX1" fmla="*/ 10003 w 10003"/>
                <a:gd name="connsiteY1" fmla="*/ 0 h 10000"/>
                <a:gd name="connsiteX2" fmla="*/ 10003 w 10003"/>
                <a:gd name="connsiteY2" fmla="*/ 10000 h 10000"/>
                <a:gd name="connsiteX3" fmla="*/ 3 w 10003"/>
                <a:gd name="connsiteY3" fmla="*/ 10000 h 10000"/>
                <a:gd name="connsiteX4" fmla="*/ 316 w 10003"/>
                <a:gd name="connsiteY4" fmla="*/ 4069 h 10000"/>
                <a:gd name="connsiteX0" fmla="*/ 11 w 9698"/>
                <a:gd name="connsiteY0" fmla="*/ 4069 h 10345"/>
                <a:gd name="connsiteX1" fmla="*/ 9698 w 9698"/>
                <a:gd name="connsiteY1" fmla="*/ 0 h 10345"/>
                <a:gd name="connsiteX2" fmla="*/ 9698 w 9698"/>
                <a:gd name="connsiteY2" fmla="*/ 10000 h 10345"/>
                <a:gd name="connsiteX3" fmla="*/ 10 w 9698"/>
                <a:gd name="connsiteY3" fmla="*/ 10345 h 10345"/>
                <a:gd name="connsiteX4" fmla="*/ 11 w 9698"/>
                <a:gd name="connsiteY4" fmla="*/ 4069 h 103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9698" h="10345">
                  <a:moveTo>
                    <a:pt x="11" y="4069"/>
                  </a:moveTo>
                  <a:lnTo>
                    <a:pt x="9698" y="0"/>
                  </a:lnTo>
                  <a:lnTo>
                    <a:pt x="9698" y="10000"/>
                  </a:lnTo>
                  <a:lnTo>
                    <a:pt x="10" y="10345"/>
                  </a:lnTo>
                  <a:cubicBezTo>
                    <a:pt x="-25" y="8368"/>
                    <a:pt x="46" y="6046"/>
                    <a:pt x="11" y="4069"/>
                  </a:cubicBezTo>
                  <a:close/>
                </a:path>
              </a:pathLst>
            </a:cu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003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3905250" y="2466975"/>
            <a:ext cx="438150" cy="409576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3657601" y="904876"/>
            <a:ext cx="133350" cy="196596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4448175" y="904876"/>
            <a:ext cx="133350" cy="1962149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4002359" y="2561296"/>
            <a:ext cx="84796" cy="8572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4146395" y="2560367"/>
            <a:ext cx="84796" cy="8572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Flowchart: Stored Data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 rot="5400000">
            <a:off x="4085993" y="2686515"/>
            <a:ext cx="70624" cy="149612"/>
          </a:xfrm>
          <a:prstGeom prst="flowChartOnlineStorag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7845</xdr:colOff>
      <xdr:row>9</xdr:row>
      <xdr:rowOff>169770</xdr:rowOff>
    </xdr:from>
    <xdr:to>
      <xdr:col>16</xdr:col>
      <xdr:colOff>7845</xdr:colOff>
      <xdr:row>12</xdr:row>
      <xdr:rowOff>131669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pSpPr/>
      </xdr:nvGrpSpPr>
      <xdr:grpSpPr>
        <a:xfrm>
          <a:off x="2517963" y="2018741"/>
          <a:ext cx="896470" cy="634252"/>
          <a:chOff x="3657601" y="2343150"/>
          <a:chExt cx="914400" cy="647700"/>
        </a:xfrm>
      </xdr:grpSpPr>
      <xdr:sp macro="" textlink="">
        <xdr:nvSpPr>
          <xdr:cNvPr id="29" name="Trapezoid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 rot="10800000">
            <a:off x="3771900" y="2400300"/>
            <a:ext cx="704850" cy="590550"/>
          </a:xfrm>
          <a:prstGeom prst="trapezoid">
            <a:avLst/>
          </a:prstGeom>
          <a:pattFill prst="pct30">
            <a:fgClr>
              <a:schemeClr val="tx1"/>
            </a:fgClr>
            <a:bgClr>
              <a:schemeClr val="bg1"/>
            </a:bgClr>
          </a:patt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Flowchart: Terminator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3657601" y="2343150"/>
            <a:ext cx="914400" cy="85725"/>
          </a:xfrm>
          <a:prstGeom prst="flowChartTerminator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115126</xdr:colOff>
      <xdr:row>5</xdr:row>
      <xdr:rowOff>215419</xdr:rowOff>
    </xdr:from>
    <xdr:to>
      <xdr:col>15</xdr:col>
      <xdr:colOff>208572</xdr:colOff>
      <xdr:row>5</xdr:row>
      <xdr:rowOff>215419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/>
      </xdr:nvCxnSpPr>
      <xdr:spPr>
        <a:xfrm>
          <a:off x="3320008" y="1167919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4</xdr:row>
      <xdr:rowOff>215419</xdr:rowOff>
    </xdr:from>
    <xdr:to>
      <xdr:col>15</xdr:col>
      <xdr:colOff>208572</xdr:colOff>
      <xdr:row>4</xdr:row>
      <xdr:rowOff>215419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/>
      </xdr:nvCxnSpPr>
      <xdr:spPr>
        <a:xfrm>
          <a:off x="3320008" y="94380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6</xdr:row>
      <xdr:rowOff>96076</xdr:rowOff>
    </xdr:from>
    <xdr:to>
      <xdr:col>15</xdr:col>
      <xdr:colOff>208572</xdr:colOff>
      <xdr:row>6</xdr:row>
      <xdr:rowOff>96076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/>
      </xdr:nvCxnSpPr>
      <xdr:spPr>
        <a:xfrm>
          <a:off x="3320008" y="1272694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5</xdr:row>
      <xdr:rowOff>105601</xdr:rowOff>
    </xdr:from>
    <xdr:to>
      <xdr:col>15</xdr:col>
      <xdr:colOff>208572</xdr:colOff>
      <xdr:row>5</xdr:row>
      <xdr:rowOff>105601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CxnSpPr/>
      </xdr:nvCxnSpPr>
      <xdr:spPr>
        <a:xfrm>
          <a:off x="3320008" y="105810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4</xdr:row>
      <xdr:rowOff>105602</xdr:rowOff>
    </xdr:from>
    <xdr:to>
      <xdr:col>15</xdr:col>
      <xdr:colOff>208572</xdr:colOff>
      <xdr:row>4</xdr:row>
      <xdr:rowOff>105602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>
          <a:off x="3320008" y="833984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3</xdr:row>
      <xdr:rowOff>212382</xdr:rowOff>
    </xdr:from>
    <xdr:to>
      <xdr:col>15</xdr:col>
      <xdr:colOff>208572</xdr:colOff>
      <xdr:row>3</xdr:row>
      <xdr:rowOff>212382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>
          <a:off x="3320008" y="716647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2</xdr:row>
      <xdr:rowOff>215419</xdr:rowOff>
    </xdr:from>
    <xdr:to>
      <xdr:col>15</xdr:col>
      <xdr:colOff>208572</xdr:colOff>
      <xdr:row>2</xdr:row>
      <xdr:rowOff>215419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3320008" y="495566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1</xdr:row>
      <xdr:rowOff>215419</xdr:rowOff>
    </xdr:from>
    <xdr:to>
      <xdr:col>15</xdr:col>
      <xdr:colOff>208572</xdr:colOff>
      <xdr:row>1</xdr:row>
      <xdr:rowOff>215419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CxnSpPr/>
      </xdr:nvCxnSpPr>
      <xdr:spPr>
        <a:xfrm>
          <a:off x="3320008" y="271448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3</xdr:row>
      <xdr:rowOff>96076</xdr:rowOff>
    </xdr:from>
    <xdr:to>
      <xdr:col>15</xdr:col>
      <xdr:colOff>208572</xdr:colOff>
      <xdr:row>3</xdr:row>
      <xdr:rowOff>96076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>
          <a:off x="3320008" y="60034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2</xdr:row>
      <xdr:rowOff>105601</xdr:rowOff>
    </xdr:from>
    <xdr:to>
      <xdr:col>15</xdr:col>
      <xdr:colOff>208572</xdr:colOff>
      <xdr:row>2</xdr:row>
      <xdr:rowOff>105601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>
          <a:off x="3320008" y="385748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1</xdr:row>
      <xdr:rowOff>105601</xdr:rowOff>
    </xdr:from>
    <xdr:to>
      <xdr:col>15</xdr:col>
      <xdr:colOff>208572</xdr:colOff>
      <xdr:row>1</xdr:row>
      <xdr:rowOff>105601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/>
      </xdr:nvCxnSpPr>
      <xdr:spPr>
        <a:xfrm>
          <a:off x="3320008" y="161630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10775</xdr:colOff>
      <xdr:row>1</xdr:row>
      <xdr:rowOff>75254</xdr:rowOff>
    </xdr:from>
    <xdr:to>
      <xdr:col>15</xdr:col>
      <xdr:colOff>82578</xdr:colOff>
      <xdr:row>1</xdr:row>
      <xdr:rowOff>142661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2991540" y="131283"/>
          <a:ext cx="295920" cy="67407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11846</xdr:colOff>
      <xdr:row>18</xdr:row>
      <xdr:rowOff>4003</xdr:rowOff>
    </xdr:from>
    <xdr:to>
      <xdr:col>16</xdr:col>
      <xdr:colOff>19770</xdr:colOff>
      <xdr:row>29</xdr:row>
      <xdr:rowOff>146878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GrpSpPr/>
      </xdr:nvGrpSpPr>
      <xdr:grpSpPr>
        <a:xfrm>
          <a:off x="2521964" y="3746768"/>
          <a:ext cx="904394" cy="2608169"/>
          <a:chOff x="2597203" y="4031717"/>
          <a:chExt cx="933210" cy="2687411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GrpSpPr/>
        </xdr:nvGrpSpPr>
        <xdr:grpSpPr>
          <a:xfrm>
            <a:off x="2597203" y="4031717"/>
            <a:ext cx="933210" cy="1993447"/>
            <a:chOff x="3676650" y="3419475"/>
            <a:chExt cx="923925" cy="1981201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>
            <a:xfrm flipH="1">
              <a:off x="3676650" y="34194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>
            <a:xfrm flipH="1">
              <a:off x="3676650" y="51720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 flipH="1">
              <a:off x="3676650" y="4991100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GrpSpPr/>
          </xdr:nvGrpSpPr>
          <xdr:grpSpPr>
            <a:xfrm flipH="1">
              <a:off x="3676650" y="4067175"/>
              <a:ext cx="923925" cy="514350"/>
              <a:chOff x="3667125" y="923925"/>
              <a:chExt cx="923925" cy="514350"/>
            </a:xfrm>
          </xdr:grpSpPr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00000000-0008-0000-0300-000010000000}"/>
                  </a:ext>
                </a:extLst>
              </xdr:cNvPr>
              <xdr:cNvSpPr/>
            </xdr:nvSpPr>
            <xdr:spPr>
              <a:xfrm>
                <a:off x="3667125" y="923925"/>
                <a:ext cx="923925" cy="219075"/>
              </a:xfrm>
              <a:prstGeom prst="rect">
                <a:avLst/>
              </a:prstGeom>
              <a:solidFill>
                <a:schemeClr val="accent2">
                  <a:lumMod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7" name="Flowchart: Manual Input 2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SpPr/>
            </xdr:nvSpPr>
            <xdr:spPr>
              <a:xfrm rot="10800000">
                <a:off x="3686174" y="1152520"/>
                <a:ext cx="886786" cy="285755"/>
              </a:xfrm>
              <a:custGeom>
                <a:avLst/>
                <a:gdLst>
                  <a:gd name="connsiteX0" fmla="*/ 0 w 10000"/>
                  <a:gd name="connsiteY0" fmla="*/ 2000 h 10000"/>
                  <a:gd name="connsiteX1" fmla="*/ 10000 w 10000"/>
                  <a:gd name="connsiteY1" fmla="*/ 0 h 10000"/>
                  <a:gd name="connsiteX2" fmla="*/ 10000 w 10000"/>
                  <a:gd name="connsiteY2" fmla="*/ 10000 h 10000"/>
                  <a:gd name="connsiteX3" fmla="*/ 0 w 10000"/>
                  <a:gd name="connsiteY3" fmla="*/ 10000 h 10000"/>
                  <a:gd name="connsiteX4" fmla="*/ 0 w 10000"/>
                  <a:gd name="connsiteY4" fmla="*/ 2000 h 10000"/>
                  <a:gd name="connsiteX0" fmla="*/ 0 w 10104"/>
                  <a:gd name="connsiteY0" fmla="*/ 4069 h 10000"/>
                  <a:gd name="connsiteX1" fmla="*/ 10104 w 10104"/>
                  <a:gd name="connsiteY1" fmla="*/ 0 h 10000"/>
                  <a:gd name="connsiteX2" fmla="*/ 10104 w 10104"/>
                  <a:gd name="connsiteY2" fmla="*/ 10000 h 10000"/>
                  <a:gd name="connsiteX3" fmla="*/ 104 w 10104"/>
                  <a:gd name="connsiteY3" fmla="*/ 10000 h 10000"/>
                  <a:gd name="connsiteX4" fmla="*/ 0 w 10104"/>
                  <a:gd name="connsiteY4" fmla="*/ 4069 h 10000"/>
                  <a:gd name="connsiteX0" fmla="*/ 316 w 10003"/>
                  <a:gd name="connsiteY0" fmla="*/ 4069 h 10000"/>
                  <a:gd name="connsiteX1" fmla="*/ 10003 w 10003"/>
                  <a:gd name="connsiteY1" fmla="*/ 0 h 10000"/>
                  <a:gd name="connsiteX2" fmla="*/ 10003 w 10003"/>
                  <a:gd name="connsiteY2" fmla="*/ 10000 h 10000"/>
                  <a:gd name="connsiteX3" fmla="*/ 3 w 10003"/>
                  <a:gd name="connsiteY3" fmla="*/ 10000 h 10000"/>
                  <a:gd name="connsiteX4" fmla="*/ 316 w 10003"/>
                  <a:gd name="connsiteY4" fmla="*/ 4069 h 10000"/>
                  <a:gd name="connsiteX0" fmla="*/ 11 w 9698"/>
                  <a:gd name="connsiteY0" fmla="*/ 4069 h 10345"/>
                  <a:gd name="connsiteX1" fmla="*/ 9698 w 9698"/>
                  <a:gd name="connsiteY1" fmla="*/ 0 h 10345"/>
                  <a:gd name="connsiteX2" fmla="*/ 9698 w 9698"/>
                  <a:gd name="connsiteY2" fmla="*/ 10000 h 10345"/>
                  <a:gd name="connsiteX3" fmla="*/ 10 w 9698"/>
                  <a:gd name="connsiteY3" fmla="*/ 10345 h 10345"/>
                  <a:gd name="connsiteX4" fmla="*/ 11 w 9698"/>
                  <a:gd name="connsiteY4" fmla="*/ 4069 h 1034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9698" h="10345">
                    <a:moveTo>
                      <a:pt x="11" y="4069"/>
                    </a:moveTo>
                    <a:lnTo>
                      <a:pt x="9698" y="0"/>
                    </a:lnTo>
                    <a:lnTo>
                      <a:pt x="9698" y="10000"/>
                    </a:lnTo>
                    <a:lnTo>
                      <a:pt x="10" y="10345"/>
                    </a:lnTo>
                    <a:cubicBezTo>
                      <a:pt x="-25" y="8368"/>
                      <a:pt x="46" y="6046"/>
                      <a:pt x="11" y="4069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003">
                <a:schemeClr val="lt2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8" name="Oval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>
            <a:xfrm>
              <a:off x="3924300" y="4991100"/>
              <a:ext cx="438150" cy="409576"/>
            </a:xfrm>
            <a:prstGeom prst="ellipse">
              <a:avLst/>
            </a:prstGeom>
            <a:solidFill>
              <a:srgbClr val="00B0F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>
            <a:xfrm>
              <a:off x="3676651" y="3429001"/>
              <a:ext cx="133350" cy="1965960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>
            <a:xfrm>
              <a:off x="4467225" y="3429001"/>
              <a:ext cx="133350" cy="1962149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>
              <a:off x="4021409" y="5085421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Oval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>
              <a:off x="4165445" y="5084492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Flowchart: Stored Data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 rot="5400000">
              <a:off x="4105043" y="5210640"/>
              <a:ext cx="70624" cy="149612"/>
            </a:xfrm>
            <a:prstGeom prst="flowChartOnlineStorag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GrpSpPr/>
        </xdr:nvGrpSpPr>
        <xdr:grpSpPr>
          <a:xfrm>
            <a:off x="2597204" y="6070467"/>
            <a:ext cx="916482" cy="648661"/>
            <a:chOff x="3657601" y="2343150"/>
            <a:chExt cx="914400" cy="647700"/>
          </a:xfrm>
        </xdr:grpSpPr>
        <xdr:sp macro="" textlink="">
          <xdr:nvSpPr>
            <xdr:cNvPr id="33" name="Trapezoid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 rot="10800000">
              <a:off x="3771900" y="2400300"/>
              <a:ext cx="704850" cy="590550"/>
            </a:xfrm>
            <a:prstGeom prst="trapezoid">
              <a:avLst/>
            </a:prstGeom>
            <a:pattFill prst="pct30">
              <a:fgClr>
                <a:schemeClr val="tx1"/>
              </a:fgClr>
              <a:bgClr>
                <a:schemeClr val="bg1"/>
              </a:bgClr>
            </a:patt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Flowchart: Terminator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/>
          </xdr:nvSpPr>
          <xdr:spPr>
            <a:xfrm>
              <a:off x="3657601" y="2343150"/>
              <a:ext cx="914400" cy="85725"/>
            </a:xfrm>
            <a:prstGeom prst="flowChartTerminator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CxnSpPr/>
        </xdr:nvCxnSpPr>
        <xdr:spPr>
          <a:xfrm>
            <a:off x="3410372" y="517031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CxnSpPr/>
        </xdr:nvCxnSpPr>
        <xdr:spPr>
          <a:xfrm>
            <a:off x="3410372" y="493899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/>
        </xdr:nvCxnSpPr>
        <xdr:spPr>
          <a:xfrm>
            <a:off x="3410372" y="5270613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CxnSpPr/>
        </xdr:nvCxnSpPr>
        <xdr:spPr>
          <a:xfrm>
            <a:off x="3410372" y="504881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CxnSpPr/>
        </xdr:nvCxnSpPr>
        <xdr:spPr>
          <a:xfrm>
            <a:off x="3410372" y="4805587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/>
        </xdr:nvCxnSpPr>
        <xdr:spPr>
          <a:xfrm>
            <a:off x="3410372" y="46981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CxnSpPr/>
        </xdr:nvCxnSpPr>
        <xdr:spPr>
          <a:xfrm>
            <a:off x="3410372" y="447635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CxnSpPr/>
        </xdr:nvCxnSpPr>
        <xdr:spPr>
          <a:xfrm>
            <a:off x="3410372" y="4245034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CxnSpPr/>
        </xdr:nvCxnSpPr>
        <xdr:spPr>
          <a:xfrm>
            <a:off x="3410372" y="457664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CxnSpPr/>
        </xdr:nvCxnSpPr>
        <xdr:spPr>
          <a:xfrm>
            <a:off x="3410372" y="43548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CxnSpPr/>
        </xdr:nvCxnSpPr>
        <xdr:spPr>
          <a:xfrm>
            <a:off x="3410372" y="4123530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Arrow: Right 99">
            <a:extLst>
              <a:ext uri="{FF2B5EF4-FFF2-40B4-BE49-F238E27FC236}">
                <a16:creationId xmlns:a16="http://schemas.microsoft.com/office/drawing/2014/main" id="{00000000-0008-0000-0300-000064000000}"/>
              </a:ext>
            </a:extLst>
          </xdr:cNvPr>
          <xdr:cNvSpPr/>
        </xdr:nvSpPr>
        <xdr:spPr>
          <a:xfrm>
            <a:off x="3077063" y="4763627"/>
            <a:ext cx="303125" cy="67407"/>
          </a:xfrm>
          <a:prstGeom prst="rightArrow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3T10:23:48.6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3T10:23:48.6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8FBE4-171F-4AA1-B2C0-E11F9C4D3EA9}" name="Table1" displayName="Table1" ref="AA1:AF27" totalsRowShown="0" headerRowDxfId="18" dataDxfId="17">
  <autoFilter ref="AA1:AF27" xr:uid="{4C48FBE4-171F-4AA1-B2C0-E11F9C4D3EA9}"/>
  <tableColumns count="6">
    <tableColumn id="1" xr3:uid="{51D50E7D-ABCF-48A4-BB1C-73C438D90A91}" name="PLAYER" dataDxfId="16"/>
    <tableColumn id="5" xr3:uid="{73C3B5C0-325E-499E-B571-3EEE2E5D8B8D}" name="TURN" dataDxfId="15"/>
    <tableColumn id="10" xr3:uid="{7466F9D8-0DC7-4857-A62A-A8EE4A7178D7}" name="MOVE" dataDxfId="14"/>
    <tableColumn id="2" xr3:uid="{5ABFA42C-9E92-458E-9C9B-8C045746C476}" name="TYPE" dataDxfId="13"/>
    <tableColumn id="4" xr3:uid="{9819A3A1-F52E-4273-A4F7-534CDE7F169F}" name="GUESS" dataDxfId="12"/>
    <tableColumn id="3" xr3:uid="{FF629767-ABF8-4668-B0D1-73D304120D9A}" name="STATUS" dataDxfId="1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7BBD2-40C1-427E-9C0A-AF7E1339FDC8}" name="Table2" displayName="Table2" ref="AW1:BB52" totalsRowShown="0" headerRowDxfId="10" dataDxfId="8" headerRowBorderDxfId="9" tableBorderDxfId="7" totalsRowBorderDxfId="6">
  <autoFilter ref="AW1:BB52" xr:uid="{3227BBD2-40C1-427E-9C0A-AF7E1339FDC8}"/>
  <tableColumns count="6">
    <tableColumn id="1" xr3:uid="{0E990B6A-73AD-4293-96FD-C7BD0B41CF3B}" name="PLAYER" dataDxfId="5"/>
    <tableColumn id="2" xr3:uid="{622040AD-A4B1-4085-8119-CCB95F988E8E}" name="TURN" dataDxfId="4"/>
    <tableColumn id="6" xr3:uid="{D6F16F52-C03A-46B4-911E-501992A9F4A1}" name="Move" dataDxfId="3"/>
    <tableColumn id="3" xr3:uid="{005BD601-C046-4BB7-8EA7-18A6F91EF9AD}" name="TYPE" dataDxfId="2"/>
    <tableColumn id="4" xr3:uid="{2B12DD3C-1DD2-4201-A76A-F21B9A8E19A5}" name="GUESS" dataDxfId="1"/>
    <tableColumn id="5" xr3:uid="{012860E1-B817-40C4-ABB6-E7BB93E71E77}" name="STATU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7ED1-575A-4963-BF7D-21956D3CF719}">
  <dimension ref="D1:BB52"/>
  <sheetViews>
    <sheetView zoomScale="40" zoomScaleNormal="40" workbookViewId="0">
      <selection activeCell="D1" sqref="D1:P27"/>
    </sheetView>
  </sheetViews>
  <sheetFormatPr defaultColWidth="3.28515625" defaultRowHeight="17.25" customHeight="1" x14ac:dyDescent="0.25"/>
  <cols>
    <col min="27" max="27" width="12.42578125" style="112" bestFit="1" customWidth="1"/>
    <col min="28" max="28" width="10.5703125" style="119" bestFit="1" customWidth="1"/>
    <col min="29" max="29" width="10.5703125" style="119" customWidth="1"/>
    <col min="30" max="30" width="12.5703125" style="112" bestFit="1" customWidth="1"/>
    <col min="31" max="31" width="11.7109375" style="112" bestFit="1" customWidth="1"/>
    <col min="32" max="32" width="12.28515625" style="112" bestFit="1" customWidth="1"/>
    <col min="40" max="40" width="8.140625" bestFit="1" customWidth="1"/>
    <col min="48" max="48" width="8.7109375" customWidth="1"/>
    <col min="49" max="49" width="12.42578125" bestFit="1" customWidth="1"/>
    <col min="50" max="50" width="10.5703125" bestFit="1" customWidth="1"/>
    <col min="51" max="51" width="10.42578125" bestFit="1" customWidth="1"/>
    <col min="52" max="52" width="12.5703125" bestFit="1" customWidth="1"/>
    <col min="53" max="53" width="11.7109375" bestFit="1" customWidth="1"/>
    <col min="54" max="54" width="12.28515625" bestFit="1" customWidth="1"/>
  </cols>
  <sheetData>
    <row r="1" spans="4:54" ht="17.25" customHeight="1" thickBot="1" x14ac:dyDescent="0.3">
      <c r="D1" s="277" t="s">
        <v>48</v>
      </c>
      <c r="E1" s="278"/>
      <c r="F1" s="278"/>
      <c r="G1" s="278"/>
      <c r="H1" s="278"/>
      <c r="I1" s="278"/>
      <c r="J1" s="278"/>
      <c r="K1" s="278"/>
      <c r="L1" s="279"/>
      <c r="N1" s="286" t="s">
        <v>72</v>
      </c>
      <c r="O1" s="287"/>
      <c r="P1" s="288"/>
      <c r="AA1" s="112" t="s">
        <v>52</v>
      </c>
      <c r="AB1" s="119" t="s">
        <v>41</v>
      </c>
      <c r="AC1" s="119" t="s">
        <v>74</v>
      </c>
      <c r="AD1" s="112" t="s">
        <v>45</v>
      </c>
      <c r="AE1" s="112" t="s">
        <v>42</v>
      </c>
      <c r="AF1" s="112" t="s">
        <v>43</v>
      </c>
      <c r="AW1" s="131" t="s">
        <v>52</v>
      </c>
      <c r="AX1" s="132" t="s">
        <v>41</v>
      </c>
      <c r="AY1" s="132" t="s">
        <v>73</v>
      </c>
      <c r="AZ1" s="133" t="s">
        <v>45</v>
      </c>
      <c r="BA1" s="133" t="s">
        <v>42</v>
      </c>
      <c r="BB1" s="134" t="s">
        <v>43</v>
      </c>
    </row>
    <row r="2" spans="4:54" ht="17.25" customHeight="1" thickBot="1" x14ac:dyDescent="0.3">
      <c r="D2" s="15">
        <v>1</v>
      </c>
      <c r="E2" s="121" t="s">
        <v>17</v>
      </c>
      <c r="F2" s="121" t="s">
        <v>0</v>
      </c>
      <c r="G2" s="121" t="s">
        <v>22</v>
      </c>
      <c r="H2" s="17"/>
      <c r="I2" s="17"/>
      <c r="J2" s="17"/>
      <c r="K2" s="17"/>
      <c r="L2" s="18"/>
      <c r="N2" s="289"/>
      <c r="O2" s="290"/>
      <c r="P2" s="291"/>
      <c r="T2" s="109" t="s">
        <v>48</v>
      </c>
      <c r="U2" s="110"/>
      <c r="V2" s="110"/>
      <c r="W2" s="111"/>
      <c r="AA2" s="112" t="s">
        <v>47</v>
      </c>
      <c r="AB2" s="119">
        <v>21</v>
      </c>
      <c r="AC2" s="119">
        <v>41</v>
      </c>
      <c r="AD2" s="112" t="s">
        <v>49</v>
      </c>
      <c r="AE2" s="112" t="s">
        <v>65</v>
      </c>
      <c r="AF2" s="112" t="s">
        <v>44</v>
      </c>
      <c r="AW2" s="135" t="s">
        <v>47</v>
      </c>
      <c r="AX2" s="136">
        <v>1</v>
      </c>
      <c r="AY2" s="136">
        <v>1</v>
      </c>
      <c r="AZ2" s="137" t="s">
        <v>46</v>
      </c>
      <c r="BA2" s="137" t="s">
        <v>4</v>
      </c>
      <c r="BB2" s="138" t="s">
        <v>44</v>
      </c>
    </row>
    <row r="3" spans="4:54" ht="17.25" customHeight="1" thickBot="1" x14ac:dyDescent="0.3">
      <c r="D3" s="15">
        <v>2</v>
      </c>
      <c r="E3" s="121" t="s">
        <v>7</v>
      </c>
      <c r="F3" s="121" t="s">
        <v>14</v>
      </c>
      <c r="G3" s="121" t="s">
        <v>11</v>
      </c>
      <c r="H3" s="121" t="s">
        <v>3</v>
      </c>
      <c r="I3" s="17"/>
      <c r="J3" s="17"/>
      <c r="K3" s="17"/>
      <c r="L3" s="18"/>
      <c r="N3" s="292"/>
      <c r="O3" s="293"/>
      <c r="P3" s="294"/>
      <c r="T3" s="109" t="s">
        <v>36</v>
      </c>
      <c r="U3" s="110"/>
      <c r="V3" s="110"/>
      <c r="W3" s="115">
        <f>SUM(AN4:AN7)</f>
        <v>16</v>
      </c>
      <c r="AA3" s="112" t="s">
        <v>48</v>
      </c>
      <c r="AB3" s="119">
        <v>21</v>
      </c>
      <c r="AC3" s="119">
        <v>42</v>
      </c>
      <c r="AD3" s="112" t="s">
        <v>49</v>
      </c>
      <c r="AE3" s="112" t="s">
        <v>66</v>
      </c>
      <c r="AF3" s="112" t="s">
        <v>51</v>
      </c>
      <c r="AK3" s="109" t="s">
        <v>48</v>
      </c>
      <c r="AL3" s="110"/>
      <c r="AM3" s="110"/>
      <c r="AN3" s="111"/>
      <c r="AW3" s="135" t="s">
        <v>48</v>
      </c>
      <c r="AX3" s="136">
        <v>1</v>
      </c>
      <c r="AY3" s="136">
        <v>2</v>
      </c>
      <c r="AZ3" s="137" t="s">
        <v>49</v>
      </c>
      <c r="BA3" s="137" t="s">
        <v>50</v>
      </c>
      <c r="BB3" s="138" t="s">
        <v>51</v>
      </c>
    </row>
    <row r="4" spans="4:54" ht="17.25" customHeight="1" thickBot="1" x14ac:dyDescent="0.3">
      <c r="D4" s="15">
        <v>3</v>
      </c>
      <c r="E4" s="121" t="s">
        <v>1</v>
      </c>
      <c r="F4" s="121" t="s">
        <v>4</v>
      </c>
      <c r="G4" s="121" t="s">
        <v>0</v>
      </c>
      <c r="H4" s="121" t="s">
        <v>18</v>
      </c>
      <c r="I4" s="121" t="s">
        <v>19</v>
      </c>
      <c r="J4" s="17"/>
      <c r="K4" s="17"/>
      <c r="L4" s="18"/>
      <c r="M4" s="3"/>
      <c r="N4" s="122" t="s">
        <v>0</v>
      </c>
      <c r="O4" s="123" t="s">
        <v>1</v>
      </c>
      <c r="P4" s="116" t="s">
        <v>2</v>
      </c>
      <c r="AA4" s="112" t="s">
        <v>47</v>
      </c>
      <c r="AB4" s="119">
        <v>22</v>
      </c>
      <c r="AC4" s="119">
        <v>43</v>
      </c>
      <c r="AD4" s="112" t="s">
        <v>49</v>
      </c>
      <c r="AE4" s="112" t="s">
        <v>67</v>
      </c>
      <c r="AF4" s="112" t="s">
        <v>44</v>
      </c>
      <c r="AK4" s="109" t="s">
        <v>36</v>
      </c>
      <c r="AL4" s="110"/>
      <c r="AM4" s="110"/>
      <c r="AN4" s="115">
        <f>COUNTIFS(Table2[PLAYER], "ME", Table2[STATUS], "MISS")</f>
        <v>14</v>
      </c>
      <c r="AW4" s="135" t="s">
        <v>47</v>
      </c>
      <c r="AX4" s="136">
        <v>2</v>
      </c>
      <c r="AY4" s="136">
        <v>3</v>
      </c>
      <c r="AZ4" s="137" t="s">
        <v>46</v>
      </c>
      <c r="BA4" s="137" t="s">
        <v>0</v>
      </c>
      <c r="BB4" s="138" t="s">
        <v>44</v>
      </c>
    </row>
    <row r="5" spans="4:54" ht="17.25" customHeight="1" thickBot="1" x14ac:dyDescent="0.3">
      <c r="D5" s="21"/>
      <c r="E5" s="113" t="s">
        <v>0</v>
      </c>
      <c r="F5" s="113" t="s">
        <v>1</v>
      </c>
      <c r="G5" s="113" t="s">
        <v>2</v>
      </c>
      <c r="H5" s="113" t="s">
        <v>3</v>
      </c>
      <c r="I5" s="113" t="s">
        <v>4</v>
      </c>
      <c r="J5" s="113" t="s">
        <v>5</v>
      </c>
      <c r="K5" s="113" t="s">
        <v>6</v>
      </c>
      <c r="L5" s="114" t="s">
        <v>7</v>
      </c>
      <c r="M5" s="3"/>
      <c r="N5" s="124" t="s">
        <v>3</v>
      </c>
      <c r="O5" s="120" t="s">
        <v>4</v>
      </c>
      <c r="P5" s="7" t="s">
        <v>5</v>
      </c>
      <c r="T5" s="283" t="s">
        <v>57</v>
      </c>
      <c r="U5" s="284"/>
      <c r="V5" s="284"/>
      <c r="W5" s="284"/>
      <c r="X5" s="284"/>
      <c r="Y5" s="285"/>
      <c r="AA5" s="112" t="s">
        <v>48</v>
      </c>
      <c r="AB5" s="119">
        <v>22</v>
      </c>
      <c r="AC5" s="119">
        <v>44</v>
      </c>
      <c r="AD5" s="112" t="s">
        <v>49</v>
      </c>
      <c r="AE5" s="112" t="s">
        <v>68</v>
      </c>
      <c r="AF5" s="112" t="s">
        <v>51</v>
      </c>
      <c r="AK5" s="109" t="s">
        <v>56</v>
      </c>
      <c r="AL5" s="110"/>
      <c r="AM5" s="110"/>
      <c r="AN5" s="111">
        <f>(COUNTIFS(Table2[PLAYER], "ME",Table2[TYPE],"WORD", Table2[STATUS], "MISS"))*2</f>
        <v>0</v>
      </c>
      <c r="AW5" s="135" t="s">
        <v>48</v>
      </c>
      <c r="AX5" s="136">
        <v>2</v>
      </c>
      <c r="AY5" s="136">
        <v>4</v>
      </c>
      <c r="AZ5" s="137" t="s">
        <v>46</v>
      </c>
      <c r="BA5" s="137" t="s">
        <v>14</v>
      </c>
      <c r="BB5" s="138" t="s">
        <v>44</v>
      </c>
    </row>
    <row r="6" spans="4:54" ht="17.25" customHeight="1" thickBot="1" x14ac:dyDescent="0.3">
      <c r="D6" s="25">
        <v>1</v>
      </c>
      <c r="E6" s="36"/>
      <c r="F6" s="6"/>
      <c r="G6" s="6" t="s">
        <v>1</v>
      </c>
      <c r="H6" s="6"/>
      <c r="I6" s="6"/>
      <c r="J6" s="36"/>
      <c r="K6" s="6"/>
      <c r="L6" s="6"/>
      <c r="M6" s="3"/>
      <c r="N6" s="117" t="s">
        <v>6</v>
      </c>
      <c r="O6" s="120" t="s">
        <v>7</v>
      </c>
      <c r="P6" s="7" t="s">
        <v>8</v>
      </c>
      <c r="T6" s="109"/>
      <c r="U6" s="110"/>
      <c r="V6" s="110"/>
      <c r="W6" s="110"/>
      <c r="X6" s="110"/>
      <c r="Y6" s="111"/>
      <c r="AA6" s="112" t="s">
        <v>47</v>
      </c>
      <c r="AB6" s="119">
        <v>23</v>
      </c>
      <c r="AC6" s="119">
        <v>45</v>
      </c>
      <c r="AD6" s="112" t="s">
        <v>49</v>
      </c>
      <c r="AE6" s="112" t="s">
        <v>69</v>
      </c>
      <c r="AF6" s="112" t="s">
        <v>51</v>
      </c>
      <c r="AK6" s="109" t="s">
        <v>36</v>
      </c>
      <c r="AL6" s="110"/>
      <c r="AM6" s="110"/>
      <c r="AN6" s="115">
        <f>COUNTIFS(Table1[PLAYER], "ME", Table1[STATUS], "MISS")</f>
        <v>2</v>
      </c>
      <c r="AW6" s="135" t="s">
        <v>47</v>
      </c>
      <c r="AX6" s="136">
        <v>3</v>
      </c>
      <c r="AY6" s="136">
        <v>5</v>
      </c>
      <c r="AZ6" s="137" t="s">
        <v>46</v>
      </c>
      <c r="BA6" s="137" t="s">
        <v>17</v>
      </c>
      <c r="BB6" s="138" t="s">
        <v>44</v>
      </c>
    </row>
    <row r="7" spans="4:54" ht="17.25" customHeight="1" thickBot="1" x14ac:dyDescent="0.3">
      <c r="D7" s="25">
        <v>2</v>
      </c>
      <c r="E7" s="6"/>
      <c r="F7" s="6"/>
      <c r="G7" s="6" t="s">
        <v>4</v>
      </c>
      <c r="H7" s="6"/>
      <c r="I7" s="6"/>
      <c r="J7" s="6"/>
      <c r="K7" s="6"/>
      <c r="L7" s="6"/>
      <c r="M7" s="3"/>
      <c r="N7" s="5" t="s">
        <v>9</v>
      </c>
      <c r="O7" s="6" t="s">
        <v>10</v>
      </c>
      <c r="P7" s="125" t="s">
        <v>11</v>
      </c>
      <c r="AA7" s="112" t="s">
        <v>48</v>
      </c>
      <c r="AB7" s="119">
        <v>23</v>
      </c>
      <c r="AC7" s="119">
        <v>46</v>
      </c>
      <c r="AD7" s="112" t="s">
        <v>46</v>
      </c>
      <c r="AE7" s="112" t="s">
        <v>7</v>
      </c>
      <c r="AF7" s="112" t="s">
        <v>44</v>
      </c>
      <c r="AK7" s="109" t="s">
        <v>56</v>
      </c>
      <c r="AL7" s="110"/>
      <c r="AM7" s="110"/>
      <c r="AN7" s="111">
        <f>(COUNTIFS(Table1[PLAYER], "ME",Table1[TYPE],"WORD", Table1[STATUS], "MISS"))*2</f>
        <v>0</v>
      </c>
      <c r="AW7" s="135" t="s">
        <v>48</v>
      </c>
      <c r="AX7" s="136">
        <v>3</v>
      </c>
      <c r="AY7" s="136">
        <v>6</v>
      </c>
      <c r="AZ7" s="137" t="s">
        <v>46</v>
      </c>
      <c r="BA7" s="137" t="s">
        <v>19</v>
      </c>
      <c r="BB7" s="138" t="s">
        <v>51</v>
      </c>
    </row>
    <row r="8" spans="4:54" ht="17.25" customHeight="1" x14ac:dyDescent="0.25">
      <c r="D8" s="25">
        <v>3</v>
      </c>
      <c r="E8" s="12"/>
      <c r="F8" s="120" t="s">
        <v>17</v>
      </c>
      <c r="G8" s="120" t="s">
        <v>0</v>
      </c>
      <c r="H8" s="120" t="s">
        <v>22</v>
      </c>
      <c r="I8" s="12"/>
      <c r="J8" s="12"/>
      <c r="K8" s="12"/>
      <c r="L8" s="6"/>
      <c r="M8" s="3"/>
      <c r="N8" s="117" t="s">
        <v>12</v>
      </c>
      <c r="O8" s="36" t="s">
        <v>13</v>
      </c>
      <c r="P8" s="125" t="s">
        <v>14</v>
      </c>
      <c r="AA8" s="112" t="s">
        <v>47</v>
      </c>
      <c r="AB8" s="119">
        <v>24</v>
      </c>
      <c r="AC8" s="119">
        <v>47</v>
      </c>
      <c r="AD8" s="112" t="s">
        <v>49</v>
      </c>
      <c r="AE8" s="112" t="s">
        <v>70</v>
      </c>
      <c r="AF8" s="112" t="s">
        <v>51</v>
      </c>
      <c r="AW8" s="135" t="s">
        <v>47</v>
      </c>
      <c r="AX8" s="136">
        <v>4</v>
      </c>
      <c r="AY8" s="136">
        <v>7</v>
      </c>
      <c r="AZ8" s="137" t="s">
        <v>46</v>
      </c>
      <c r="BA8" s="137" t="s">
        <v>19</v>
      </c>
      <c r="BB8" s="138" t="s">
        <v>44</v>
      </c>
    </row>
    <row r="9" spans="4:54" ht="17.25" customHeight="1" x14ac:dyDescent="0.25">
      <c r="D9" s="25">
        <v>4</v>
      </c>
      <c r="E9" s="36"/>
      <c r="F9" s="12"/>
      <c r="G9" s="6" t="s">
        <v>18</v>
      </c>
      <c r="H9" s="12"/>
      <c r="I9" s="12"/>
      <c r="J9" s="12"/>
      <c r="K9" s="12"/>
      <c r="L9" s="6"/>
      <c r="M9" s="3"/>
      <c r="N9" s="117" t="s">
        <v>15</v>
      </c>
      <c r="O9" s="6" t="s">
        <v>16</v>
      </c>
      <c r="P9" s="125" t="s">
        <v>17</v>
      </c>
      <c r="AA9" s="112" t="s">
        <v>48</v>
      </c>
      <c r="AB9" s="119">
        <v>24</v>
      </c>
      <c r="AC9" s="119">
        <v>48</v>
      </c>
      <c r="AD9" s="112" t="s">
        <v>49</v>
      </c>
      <c r="AE9" s="112" t="s">
        <v>71</v>
      </c>
      <c r="AF9" s="112" t="s">
        <v>44</v>
      </c>
      <c r="AW9" s="135" t="s">
        <v>48</v>
      </c>
      <c r="AX9" s="136">
        <v>4</v>
      </c>
      <c r="AY9" s="136">
        <v>8</v>
      </c>
      <c r="AZ9" s="137" t="s">
        <v>46</v>
      </c>
      <c r="BA9" s="137" t="s">
        <v>18</v>
      </c>
      <c r="BB9" s="138" t="s">
        <v>44</v>
      </c>
    </row>
    <row r="10" spans="4:54" ht="17.25" customHeight="1" x14ac:dyDescent="0.25">
      <c r="D10" s="25">
        <v>5</v>
      </c>
      <c r="E10" s="12"/>
      <c r="F10" s="13"/>
      <c r="G10" s="6" t="s">
        <v>19</v>
      </c>
      <c r="H10" s="12"/>
      <c r="I10" s="36"/>
      <c r="J10" s="12"/>
      <c r="K10" s="12"/>
      <c r="L10" s="6" t="s">
        <v>7</v>
      </c>
      <c r="M10" s="3"/>
      <c r="N10" s="5" t="s">
        <v>18</v>
      </c>
      <c r="O10" s="6" t="s">
        <v>19</v>
      </c>
      <c r="P10" s="7" t="s">
        <v>20</v>
      </c>
      <c r="AA10" s="112" t="s">
        <v>47</v>
      </c>
      <c r="AB10" s="119">
        <v>25</v>
      </c>
      <c r="AC10" s="119">
        <v>49</v>
      </c>
      <c r="AD10" s="112" t="s">
        <v>49</v>
      </c>
      <c r="AE10" s="112" t="s">
        <v>75</v>
      </c>
      <c r="AF10" s="112" t="s">
        <v>51</v>
      </c>
      <c r="AW10" s="135" t="s">
        <v>47</v>
      </c>
      <c r="AX10" s="136">
        <v>5</v>
      </c>
      <c r="AY10" s="136">
        <v>9</v>
      </c>
      <c r="AZ10" s="137" t="s">
        <v>46</v>
      </c>
      <c r="BA10" s="137" t="s">
        <v>13</v>
      </c>
      <c r="BB10" s="138" t="s">
        <v>51</v>
      </c>
    </row>
    <row r="11" spans="4:54" ht="17.25" customHeight="1" x14ac:dyDescent="0.25">
      <c r="D11" s="25">
        <v>6</v>
      </c>
      <c r="E11" s="12"/>
      <c r="F11" s="12"/>
      <c r="G11" s="12"/>
      <c r="H11" s="12"/>
      <c r="I11" s="12"/>
      <c r="J11" s="12"/>
      <c r="K11" s="12" t="s">
        <v>14</v>
      </c>
      <c r="L11" s="6"/>
      <c r="M11" s="3"/>
      <c r="N11" s="5" t="s">
        <v>21</v>
      </c>
      <c r="O11" s="120" t="s">
        <v>22</v>
      </c>
      <c r="P11" s="7" t="s">
        <v>23</v>
      </c>
      <c r="AA11" s="112" t="s">
        <v>48</v>
      </c>
      <c r="AB11" s="119">
        <v>25</v>
      </c>
      <c r="AC11" s="119">
        <v>50</v>
      </c>
      <c r="AD11" s="112" t="s">
        <v>49</v>
      </c>
      <c r="AE11" s="112" t="s">
        <v>76</v>
      </c>
      <c r="AF11" s="112" t="s">
        <v>44</v>
      </c>
      <c r="AW11" s="135" t="s">
        <v>48</v>
      </c>
      <c r="AX11" s="136">
        <v>5</v>
      </c>
      <c r="AY11" s="136">
        <v>10</v>
      </c>
      <c r="AZ11" s="137" t="s">
        <v>49</v>
      </c>
      <c r="BA11" s="137" t="s">
        <v>53</v>
      </c>
      <c r="BB11" s="138" t="s">
        <v>51</v>
      </c>
    </row>
    <row r="12" spans="4:54" ht="17.25" customHeight="1" thickBot="1" x14ac:dyDescent="0.3">
      <c r="D12" s="25">
        <v>7</v>
      </c>
      <c r="E12" s="12"/>
      <c r="F12" s="12"/>
      <c r="G12" s="12"/>
      <c r="H12" s="12"/>
      <c r="I12" s="12"/>
      <c r="J12" s="12" t="s">
        <v>11</v>
      </c>
      <c r="K12" s="12"/>
      <c r="L12" s="6"/>
      <c r="M12" s="3"/>
      <c r="N12" s="118" t="s">
        <v>24</v>
      </c>
      <c r="O12" s="9" t="s">
        <v>25</v>
      </c>
      <c r="P12" s="29"/>
      <c r="AA12" s="112" t="s">
        <v>77</v>
      </c>
      <c r="AW12" s="135" t="s">
        <v>47</v>
      </c>
      <c r="AX12" s="136">
        <v>6</v>
      </c>
      <c r="AY12" s="136">
        <v>11</v>
      </c>
      <c r="AZ12" s="137" t="s">
        <v>46</v>
      </c>
      <c r="BA12" s="137" t="s">
        <v>3</v>
      </c>
      <c r="BB12" s="138" t="s">
        <v>44</v>
      </c>
    </row>
    <row r="13" spans="4:54" ht="17.25" customHeight="1" thickBot="1" x14ac:dyDescent="0.3">
      <c r="D13" s="26">
        <v>8</v>
      </c>
      <c r="E13" s="6"/>
      <c r="F13" s="6"/>
      <c r="G13" s="6"/>
      <c r="H13" s="6"/>
      <c r="I13" s="6" t="s">
        <v>3</v>
      </c>
      <c r="J13" s="6"/>
      <c r="K13" s="6"/>
      <c r="L13" s="6"/>
      <c r="M13" s="3"/>
      <c r="AW13" s="135" t="s">
        <v>48</v>
      </c>
      <c r="AX13" s="136">
        <v>6</v>
      </c>
      <c r="AY13" s="136">
        <v>12</v>
      </c>
      <c r="AZ13" s="137" t="s">
        <v>46</v>
      </c>
      <c r="BA13" s="137" t="s">
        <v>0</v>
      </c>
      <c r="BB13" s="138" t="s">
        <v>44</v>
      </c>
    </row>
    <row r="14" spans="4:54" ht="17.25" customHeight="1" thickBot="1" x14ac:dyDescent="0.3">
      <c r="D14" s="3"/>
      <c r="E14" s="3"/>
      <c r="F14" s="3"/>
      <c r="G14" s="3"/>
      <c r="H14" s="3"/>
      <c r="I14" s="3"/>
      <c r="J14" s="3"/>
      <c r="K14" s="3"/>
      <c r="L14" s="3"/>
      <c r="M14" s="3"/>
      <c r="T14" s="109" t="s">
        <v>47</v>
      </c>
      <c r="U14" s="110"/>
      <c r="V14" s="110"/>
      <c r="W14" s="111"/>
      <c r="AK14" s="109" t="s">
        <v>47</v>
      </c>
      <c r="AL14" s="110"/>
      <c r="AM14" s="110"/>
      <c r="AN14" s="111"/>
      <c r="AW14" s="135" t="s">
        <v>47</v>
      </c>
      <c r="AX14" s="136">
        <v>7</v>
      </c>
      <c r="AY14" s="136">
        <v>13</v>
      </c>
      <c r="AZ14" s="137" t="s">
        <v>54</v>
      </c>
      <c r="BA14" s="137" t="s">
        <v>55</v>
      </c>
      <c r="BB14" s="138" t="s">
        <v>51</v>
      </c>
    </row>
    <row r="15" spans="4:54" ht="17.25" customHeight="1" thickBot="1" x14ac:dyDescent="0.3">
      <c r="D15" s="280" t="s">
        <v>47</v>
      </c>
      <c r="E15" s="281"/>
      <c r="F15" s="281"/>
      <c r="G15" s="281"/>
      <c r="H15" s="281"/>
      <c r="I15" s="281"/>
      <c r="J15" s="281"/>
      <c r="K15" s="281"/>
      <c r="L15" s="282"/>
      <c r="M15" s="3"/>
      <c r="N15" s="286" t="s">
        <v>61</v>
      </c>
      <c r="O15" s="287"/>
      <c r="P15" s="288"/>
      <c r="T15" s="109" t="s">
        <v>36</v>
      </c>
      <c r="U15" s="110"/>
      <c r="V15" s="110"/>
      <c r="W15" s="115">
        <f>SUM(AN15:AN18)</f>
        <v>16</v>
      </c>
      <c r="AK15" s="109" t="s">
        <v>36</v>
      </c>
      <c r="AL15" s="110"/>
      <c r="AM15" s="110"/>
      <c r="AN15" s="115">
        <f>COUNTIFS(Table2[PLAYER], "CLAUDE", Table2[STATUS], "MISS")</f>
        <v>11</v>
      </c>
      <c r="AW15" s="135" t="s">
        <v>48</v>
      </c>
      <c r="AX15" s="136">
        <v>7</v>
      </c>
      <c r="AY15" s="136">
        <v>14</v>
      </c>
      <c r="AZ15" s="137" t="s">
        <v>46</v>
      </c>
      <c r="BA15" s="137" t="s">
        <v>3</v>
      </c>
      <c r="BB15" s="138" t="s">
        <v>44</v>
      </c>
    </row>
    <row r="16" spans="4:54" ht="17.25" customHeight="1" thickBot="1" x14ac:dyDescent="0.3">
      <c r="D16" s="15">
        <v>1</v>
      </c>
      <c r="E16" s="129" t="s">
        <v>7</v>
      </c>
      <c r="F16" s="129" t="s">
        <v>14</v>
      </c>
      <c r="G16" s="129" t="s">
        <v>6</v>
      </c>
      <c r="H16" s="17"/>
      <c r="I16" s="17"/>
      <c r="J16" s="17"/>
      <c r="K16" s="17"/>
      <c r="L16" s="18"/>
      <c r="M16" s="3"/>
      <c r="N16" s="289"/>
      <c r="O16" s="290"/>
      <c r="P16" s="291"/>
      <c r="AK16" s="109" t="s">
        <v>56</v>
      </c>
      <c r="AL16" s="110"/>
      <c r="AM16" s="110"/>
      <c r="AN16" s="111">
        <f>(COUNTIFS(Table2[PLAYER], "CLAUDE",Table2[TYPE],"WORD", Table2[STATUS], "MISS"))*2</f>
        <v>2</v>
      </c>
      <c r="AW16" s="135" t="s">
        <v>47</v>
      </c>
      <c r="AX16" s="136">
        <v>8</v>
      </c>
      <c r="AY16" s="136">
        <v>15</v>
      </c>
      <c r="AZ16" s="137" t="s">
        <v>46</v>
      </c>
      <c r="BA16" s="137" t="s">
        <v>15</v>
      </c>
      <c r="BB16" s="138" t="s">
        <v>51</v>
      </c>
    </row>
    <row r="17" spans="4:54" ht="17.25" customHeight="1" thickBot="1" x14ac:dyDescent="0.3">
      <c r="D17" s="15">
        <v>2</v>
      </c>
      <c r="E17" s="129" t="s">
        <v>17</v>
      </c>
      <c r="F17" s="129" t="s">
        <v>14</v>
      </c>
      <c r="G17" s="129" t="s">
        <v>0</v>
      </c>
      <c r="H17" s="129" t="s">
        <v>3</v>
      </c>
      <c r="I17" s="17"/>
      <c r="J17" s="17"/>
      <c r="K17" s="17"/>
      <c r="L17" s="18"/>
      <c r="M17" s="3"/>
      <c r="N17" s="292"/>
      <c r="O17" s="293"/>
      <c r="P17" s="294"/>
      <c r="T17" s="283" t="s">
        <v>57</v>
      </c>
      <c r="U17" s="284"/>
      <c r="V17" s="284"/>
      <c r="W17" s="284"/>
      <c r="X17" s="284"/>
      <c r="Y17" s="285"/>
      <c r="AK17" s="109" t="s">
        <v>36</v>
      </c>
      <c r="AL17" s="110"/>
      <c r="AM17" s="110"/>
      <c r="AN17" s="115">
        <f>COUNTIFS(Table1[PLAYER], "CLAUDE", Table1[STATUS], "MISS")</f>
        <v>3</v>
      </c>
      <c r="AW17" s="135" t="s">
        <v>48</v>
      </c>
      <c r="AX17" s="136">
        <v>8</v>
      </c>
      <c r="AY17" s="136">
        <v>16</v>
      </c>
      <c r="AZ17" s="137" t="s">
        <v>46</v>
      </c>
      <c r="BA17" s="137" t="s">
        <v>17</v>
      </c>
      <c r="BB17" s="138" t="s">
        <v>44</v>
      </c>
    </row>
    <row r="18" spans="4:54" ht="17.25" customHeight="1" thickBot="1" x14ac:dyDescent="0.3">
      <c r="D18" s="15">
        <v>3</v>
      </c>
      <c r="E18" s="129" t="s">
        <v>18</v>
      </c>
      <c r="F18" s="129" t="s">
        <v>13</v>
      </c>
      <c r="G18" s="129" t="s">
        <v>14</v>
      </c>
      <c r="H18" s="129" t="s">
        <v>17</v>
      </c>
      <c r="I18" s="129" t="s">
        <v>4</v>
      </c>
      <c r="J18" s="17"/>
      <c r="K18" s="17"/>
      <c r="L18" s="18"/>
      <c r="M18" s="3"/>
      <c r="N18" s="126" t="s">
        <v>0</v>
      </c>
      <c r="O18" s="6" t="s">
        <v>1</v>
      </c>
      <c r="P18" s="38" t="s">
        <v>2</v>
      </c>
      <c r="T18" s="109" t="s">
        <v>55</v>
      </c>
      <c r="U18" s="110"/>
      <c r="V18" s="110"/>
      <c r="W18" s="110"/>
      <c r="X18" s="110"/>
      <c r="Y18" s="111"/>
      <c r="AK18" s="109" t="s">
        <v>56</v>
      </c>
      <c r="AL18" s="110"/>
      <c r="AM18" s="110"/>
      <c r="AN18" s="111">
        <f>(COUNTIFS(Table1[PLAYER], "CLAUDE",Table1[TYPE],"WORD", Table1[STATUS], "MISS"))*2</f>
        <v>0</v>
      </c>
      <c r="AW18" s="135" t="s">
        <v>47</v>
      </c>
      <c r="AX18" s="136">
        <v>9</v>
      </c>
      <c r="AY18" s="136">
        <v>17</v>
      </c>
      <c r="AZ18" s="137" t="s">
        <v>46</v>
      </c>
      <c r="BA18" s="137" t="s">
        <v>7</v>
      </c>
      <c r="BB18" s="138" t="s">
        <v>44</v>
      </c>
    </row>
    <row r="19" spans="4:54" ht="17.25" customHeight="1" x14ac:dyDescent="0.25">
      <c r="D19" s="22"/>
      <c r="E19" s="23" t="s">
        <v>0</v>
      </c>
      <c r="F19" s="23" t="s">
        <v>1</v>
      </c>
      <c r="G19" s="23" t="s">
        <v>2</v>
      </c>
      <c r="H19" s="23" t="s">
        <v>3</v>
      </c>
      <c r="I19" s="23" t="s">
        <v>4</v>
      </c>
      <c r="J19" s="23" t="s">
        <v>5</v>
      </c>
      <c r="K19" s="23" t="s">
        <v>6</v>
      </c>
      <c r="L19" s="24" t="s">
        <v>7</v>
      </c>
      <c r="M19" s="3"/>
      <c r="N19" s="126" t="s">
        <v>3</v>
      </c>
      <c r="O19" s="127" t="s">
        <v>4</v>
      </c>
      <c r="P19" s="38" t="s">
        <v>5</v>
      </c>
      <c r="AW19" s="135" t="s">
        <v>48</v>
      </c>
      <c r="AX19" s="136">
        <v>9</v>
      </c>
      <c r="AY19" s="136">
        <v>18</v>
      </c>
      <c r="AZ19" s="137" t="s">
        <v>49</v>
      </c>
      <c r="BA19" s="137" t="s">
        <v>58</v>
      </c>
      <c r="BB19" s="138" t="s">
        <v>51</v>
      </c>
    </row>
    <row r="20" spans="4:54" ht="17.25" customHeight="1" x14ac:dyDescent="0.25">
      <c r="D20" s="25">
        <v>1</v>
      </c>
      <c r="E20" s="6"/>
      <c r="F20" s="6"/>
      <c r="G20" s="6"/>
      <c r="H20" s="6"/>
      <c r="I20" s="6"/>
      <c r="J20" s="6"/>
      <c r="K20" s="6"/>
      <c r="L20" s="7"/>
      <c r="M20" s="3"/>
      <c r="N20" s="126" t="s">
        <v>6</v>
      </c>
      <c r="O20" s="127" t="s">
        <v>7</v>
      </c>
      <c r="P20" s="7" t="s">
        <v>8</v>
      </c>
      <c r="AW20" s="135" t="s">
        <v>47</v>
      </c>
      <c r="AX20" s="136">
        <v>10</v>
      </c>
      <c r="AY20" s="136">
        <v>19</v>
      </c>
      <c r="AZ20" s="137" t="s">
        <v>46</v>
      </c>
      <c r="BA20" s="137" t="s">
        <v>11</v>
      </c>
      <c r="BB20" s="138" t="s">
        <v>44</v>
      </c>
    </row>
    <row r="21" spans="4:54" ht="17.25" customHeight="1" x14ac:dyDescent="0.25">
      <c r="D21" s="25">
        <v>2</v>
      </c>
      <c r="E21" s="6"/>
      <c r="F21" s="36"/>
      <c r="G21" s="6"/>
      <c r="H21" s="36"/>
      <c r="I21" s="6"/>
      <c r="J21" s="6"/>
      <c r="K21" s="36"/>
      <c r="L21" s="7"/>
      <c r="M21" s="3"/>
      <c r="N21" s="5" t="s">
        <v>9</v>
      </c>
      <c r="O21" s="6" t="s">
        <v>10</v>
      </c>
      <c r="P21" s="7" t="s">
        <v>11</v>
      </c>
      <c r="AW21" s="135" t="s">
        <v>48</v>
      </c>
      <c r="AX21" s="136">
        <v>10</v>
      </c>
      <c r="AY21" s="136">
        <v>20</v>
      </c>
      <c r="AZ21" s="137" t="s">
        <v>49</v>
      </c>
      <c r="BA21" s="137" t="s">
        <v>59</v>
      </c>
      <c r="BB21" s="138" t="s">
        <v>51</v>
      </c>
    </row>
    <row r="22" spans="4:54" ht="17.25" customHeight="1" x14ac:dyDescent="0.25">
      <c r="D22" s="25">
        <v>3</v>
      </c>
      <c r="E22" s="6"/>
      <c r="F22" s="6"/>
      <c r="G22" s="6"/>
      <c r="H22" s="6"/>
      <c r="I22" s="6"/>
      <c r="J22" s="6"/>
      <c r="K22" s="6"/>
      <c r="L22" s="7"/>
      <c r="M22" s="3"/>
      <c r="N22" s="117" t="s">
        <v>12</v>
      </c>
      <c r="O22" s="127" t="s">
        <v>13</v>
      </c>
      <c r="P22" s="128" t="s">
        <v>14</v>
      </c>
      <c r="AW22" s="135" t="s">
        <v>47</v>
      </c>
      <c r="AX22" s="136">
        <v>11</v>
      </c>
      <c r="AY22" s="136">
        <v>21</v>
      </c>
      <c r="AZ22" s="137" t="s">
        <v>46</v>
      </c>
      <c r="BA22" s="137" t="s">
        <v>14</v>
      </c>
      <c r="BB22" s="138" t="s">
        <v>44</v>
      </c>
    </row>
    <row r="23" spans="4:54" ht="17.25" customHeight="1" x14ac:dyDescent="0.25">
      <c r="D23" s="25">
        <v>4</v>
      </c>
      <c r="E23" s="6"/>
      <c r="F23" s="6"/>
      <c r="G23" s="6"/>
      <c r="H23" s="36"/>
      <c r="I23" s="6"/>
      <c r="J23" s="6"/>
      <c r="K23" s="6"/>
      <c r="L23" s="7"/>
      <c r="M23" s="3"/>
      <c r="N23" s="117" t="s">
        <v>15</v>
      </c>
      <c r="O23" s="6" t="s">
        <v>16</v>
      </c>
      <c r="P23" s="128" t="s">
        <v>17</v>
      </c>
      <c r="AW23" s="135" t="s">
        <v>48</v>
      </c>
      <c r="AX23" s="136">
        <v>11</v>
      </c>
      <c r="AY23" s="136">
        <v>22</v>
      </c>
      <c r="AZ23" s="137" t="s">
        <v>46</v>
      </c>
      <c r="BA23" s="137" t="s">
        <v>4</v>
      </c>
      <c r="BB23" s="138" t="s">
        <v>44</v>
      </c>
    </row>
    <row r="24" spans="4:54" ht="17.25" customHeight="1" x14ac:dyDescent="0.25">
      <c r="D24" s="25">
        <v>5</v>
      </c>
      <c r="E24" s="6"/>
      <c r="F24" s="6"/>
      <c r="G24" s="6"/>
      <c r="H24" s="6"/>
      <c r="I24" s="6"/>
      <c r="J24" s="6"/>
      <c r="K24" s="36"/>
      <c r="L24" s="7"/>
      <c r="M24" s="3"/>
      <c r="N24" s="126" t="s">
        <v>18</v>
      </c>
      <c r="O24" s="36" t="s">
        <v>19</v>
      </c>
      <c r="P24" s="7" t="s">
        <v>20</v>
      </c>
      <c r="AW24" s="135" t="s">
        <v>47</v>
      </c>
      <c r="AX24" s="136">
        <v>12</v>
      </c>
      <c r="AY24" s="136">
        <v>23</v>
      </c>
      <c r="AZ24" s="137" t="s">
        <v>46</v>
      </c>
      <c r="BA24" s="137" t="s">
        <v>2</v>
      </c>
      <c r="BB24" s="138" t="s">
        <v>51</v>
      </c>
    </row>
    <row r="25" spans="4:54" ht="17.25" customHeight="1" x14ac:dyDescent="0.25">
      <c r="D25" s="25">
        <v>6</v>
      </c>
      <c r="E25" s="6"/>
      <c r="F25" s="36"/>
      <c r="G25" s="6"/>
      <c r="H25" s="6"/>
      <c r="I25" s="130" t="s">
        <v>17</v>
      </c>
      <c r="J25" s="127" t="s">
        <v>4</v>
      </c>
      <c r="K25" s="6"/>
      <c r="L25" s="7"/>
      <c r="M25" s="3"/>
      <c r="N25" s="5" t="s">
        <v>21</v>
      </c>
      <c r="O25" s="36" t="s">
        <v>22</v>
      </c>
      <c r="P25" s="7" t="s">
        <v>23</v>
      </c>
      <c r="AW25" s="135" t="s">
        <v>48</v>
      </c>
      <c r="AX25" s="136">
        <v>12</v>
      </c>
      <c r="AY25" s="136">
        <v>24</v>
      </c>
      <c r="AZ25" s="137" t="s">
        <v>46</v>
      </c>
      <c r="BA25" s="137" t="s">
        <v>22</v>
      </c>
      <c r="BB25" s="138" t="s">
        <v>51</v>
      </c>
    </row>
    <row r="26" spans="4:54" ht="17.25" customHeight="1" thickBot="1" x14ac:dyDescent="0.3">
      <c r="D26" s="25">
        <v>7</v>
      </c>
      <c r="E26" s="6"/>
      <c r="F26" s="6"/>
      <c r="G26" s="6"/>
      <c r="H26" s="6"/>
      <c r="I26" s="6"/>
      <c r="J26" s="36"/>
      <c r="K26" s="6"/>
      <c r="L26" s="7"/>
      <c r="M26" s="3"/>
      <c r="N26" s="8" t="s">
        <v>24</v>
      </c>
      <c r="O26" s="9" t="s">
        <v>25</v>
      </c>
      <c r="P26" s="29"/>
      <c r="AW26" s="135" t="s">
        <v>47</v>
      </c>
      <c r="AX26" s="136">
        <v>13</v>
      </c>
      <c r="AY26" s="136">
        <v>25</v>
      </c>
      <c r="AZ26" s="137" t="s">
        <v>46</v>
      </c>
      <c r="BA26" s="137" t="s">
        <v>18</v>
      </c>
      <c r="BB26" s="138" t="s">
        <v>44</v>
      </c>
    </row>
    <row r="27" spans="4:54" ht="17.25" customHeight="1" thickBot="1" x14ac:dyDescent="0.3">
      <c r="D27" s="26">
        <v>8</v>
      </c>
      <c r="E27" s="9"/>
      <c r="F27" s="42"/>
      <c r="G27" s="9"/>
      <c r="H27" s="9"/>
      <c r="I27" s="9"/>
      <c r="J27" s="9"/>
      <c r="K27" s="9"/>
      <c r="L27" s="10"/>
      <c r="M27" s="3"/>
      <c r="AW27" s="135" t="s">
        <v>48</v>
      </c>
      <c r="AX27" s="136">
        <v>13</v>
      </c>
      <c r="AY27" s="136">
        <v>26</v>
      </c>
      <c r="AZ27" s="137" t="s">
        <v>49</v>
      </c>
      <c r="BA27" s="137" t="s">
        <v>60</v>
      </c>
      <c r="BB27" s="138" t="s">
        <v>51</v>
      </c>
    </row>
    <row r="28" spans="4:54" ht="17.25" customHeight="1" x14ac:dyDescent="0.25">
      <c r="AW28" s="135" t="s">
        <v>47</v>
      </c>
      <c r="AX28" s="136">
        <v>14</v>
      </c>
      <c r="AY28" s="136">
        <v>27</v>
      </c>
      <c r="AZ28" s="137" t="s">
        <v>46</v>
      </c>
      <c r="BA28" s="137" t="s">
        <v>1</v>
      </c>
      <c r="BB28" s="138" t="s">
        <v>44</v>
      </c>
    </row>
    <row r="29" spans="4:54" ht="17.25" customHeight="1" x14ac:dyDescent="0.25">
      <c r="AW29" s="135" t="s">
        <v>48</v>
      </c>
      <c r="AX29" s="136">
        <v>14</v>
      </c>
      <c r="AY29" s="136">
        <v>28</v>
      </c>
      <c r="AZ29" s="137" t="s">
        <v>46</v>
      </c>
      <c r="BA29" s="137" t="s">
        <v>13</v>
      </c>
      <c r="BB29" s="138" t="s">
        <v>44</v>
      </c>
    </row>
    <row r="30" spans="4:54" ht="17.25" customHeight="1" x14ac:dyDescent="0.25">
      <c r="AW30" s="135" t="s">
        <v>47</v>
      </c>
      <c r="AX30" s="136">
        <v>15</v>
      </c>
      <c r="AY30" s="136">
        <v>29</v>
      </c>
      <c r="AZ30" s="137" t="s">
        <v>46</v>
      </c>
      <c r="BA30" s="137" t="s">
        <v>12</v>
      </c>
      <c r="BB30" s="138" t="s">
        <v>51</v>
      </c>
    </row>
    <row r="31" spans="4:54" ht="17.25" customHeight="1" x14ac:dyDescent="0.25">
      <c r="AW31" s="135" t="s">
        <v>48</v>
      </c>
      <c r="AX31" s="136">
        <v>15</v>
      </c>
      <c r="AY31" s="136">
        <v>30</v>
      </c>
      <c r="AZ31" s="137" t="s">
        <v>46</v>
      </c>
      <c r="BA31" s="137" t="s">
        <v>2</v>
      </c>
      <c r="BB31" s="138" t="s">
        <v>51</v>
      </c>
    </row>
    <row r="32" spans="4:54" ht="17.25" customHeight="1" x14ac:dyDescent="0.25">
      <c r="AW32" s="135" t="s">
        <v>47</v>
      </c>
      <c r="AX32" s="136">
        <v>16</v>
      </c>
      <c r="AY32" s="136">
        <v>31</v>
      </c>
      <c r="AZ32" s="137" t="s">
        <v>46</v>
      </c>
      <c r="BA32" s="137" t="s">
        <v>6</v>
      </c>
      <c r="BB32" s="138" t="s">
        <v>51</v>
      </c>
    </row>
    <row r="33" spans="49:54" ht="17.25" customHeight="1" x14ac:dyDescent="0.25">
      <c r="AW33" s="135" t="s">
        <v>48</v>
      </c>
      <c r="AX33" s="136">
        <v>16</v>
      </c>
      <c r="AY33" s="136">
        <v>32</v>
      </c>
      <c r="AZ33" s="137" t="s">
        <v>46</v>
      </c>
      <c r="BA33" s="137" t="s">
        <v>12</v>
      </c>
      <c r="BB33" s="138" t="s">
        <v>51</v>
      </c>
    </row>
    <row r="34" spans="49:54" ht="17.25" customHeight="1" x14ac:dyDescent="0.25">
      <c r="AW34" s="135" t="s">
        <v>47</v>
      </c>
      <c r="AX34" s="136">
        <v>17</v>
      </c>
      <c r="AY34" s="136">
        <v>33</v>
      </c>
      <c r="AZ34" s="137" t="s">
        <v>46</v>
      </c>
      <c r="BA34" s="137" t="s">
        <v>24</v>
      </c>
      <c r="BB34" s="138" t="s">
        <v>51</v>
      </c>
    </row>
    <row r="35" spans="49:54" ht="17.25" customHeight="1" x14ac:dyDescent="0.25">
      <c r="AW35" s="135" t="s">
        <v>48</v>
      </c>
      <c r="AX35" s="136">
        <v>17</v>
      </c>
      <c r="AY35" s="136">
        <v>34</v>
      </c>
      <c r="AZ35" s="137" t="s">
        <v>49</v>
      </c>
      <c r="BA35" s="137" t="s">
        <v>62</v>
      </c>
      <c r="BB35" s="138" t="s">
        <v>51</v>
      </c>
    </row>
    <row r="36" spans="49:54" ht="17.25" customHeight="1" x14ac:dyDescent="0.25">
      <c r="AW36" s="135" t="s">
        <v>47</v>
      </c>
      <c r="AX36" s="136">
        <v>18</v>
      </c>
      <c r="AY36" s="136">
        <v>35</v>
      </c>
      <c r="AZ36" s="137" t="s">
        <v>46</v>
      </c>
      <c r="BA36" s="137" t="s">
        <v>22</v>
      </c>
      <c r="BB36" s="138" t="s">
        <v>44</v>
      </c>
    </row>
    <row r="37" spans="49:54" ht="17.25" customHeight="1" x14ac:dyDescent="0.25">
      <c r="AW37" s="135" t="s">
        <v>48</v>
      </c>
      <c r="AX37" s="136">
        <v>18</v>
      </c>
      <c r="AY37" s="136">
        <v>36</v>
      </c>
      <c r="AZ37" s="137" t="s">
        <v>46</v>
      </c>
      <c r="BA37" s="137" t="s">
        <v>15</v>
      </c>
      <c r="BB37" s="138" t="s">
        <v>51</v>
      </c>
    </row>
    <row r="38" spans="49:54" ht="17.25" customHeight="1" x14ac:dyDescent="0.25">
      <c r="AW38" s="135" t="s">
        <v>47</v>
      </c>
      <c r="AX38" s="136">
        <v>19</v>
      </c>
      <c r="AY38" s="136">
        <v>37</v>
      </c>
      <c r="AZ38" s="137" t="s">
        <v>49</v>
      </c>
      <c r="BA38" s="137" t="s">
        <v>63</v>
      </c>
      <c r="BB38" s="138" t="s">
        <v>51</v>
      </c>
    </row>
    <row r="39" spans="49:54" ht="17.25" customHeight="1" x14ac:dyDescent="0.25">
      <c r="AW39" s="135" t="s">
        <v>48</v>
      </c>
      <c r="AX39" s="136">
        <v>19</v>
      </c>
      <c r="AY39" s="136">
        <v>38</v>
      </c>
      <c r="AZ39" s="137" t="s">
        <v>46</v>
      </c>
      <c r="BA39" s="137" t="s">
        <v>6</v>
      </c>
      <c r="BB39" s="138" t="s">
        <v>44</v>
      </c>
    </row>
    <row r="40" spans="49:54" ht="17.25" customHeight="1" x14ac:dyDescent="0.25">
      <c r="AW40" s="135" t="s">
        <v>47</v>
      </c>
      <c r="AX40" s="136">
        <v>20</v>
      </c>
      <c r="AY40" s="136">
        <v>39</v>
      </c>
      <c r="AZ40" s="137" t="s">
        <v>49</v>
      </c>
      <c r="BA40" s="137" t="s">
        <v>64</v>
      </c>
      <c r="BB40" s="138" t="s">
        <v>44</v>
      </c>
    </row>
    <row r="41" spans="49:54" ht="17.25" customHeight="1" x14ac:dyDescent="0.25">
      <c r="AW41" s="139" t="s">
        <v>48</v>
      </c>
      <c r="AX41" s="140">
        <v>20</v>
      </c>
      <c r="AY41" s="136">
        <v>40</v>
      </c>
      <c r="AZ41" s="141" t="s">
        <v>46</v>
      </c>
      <c r="BA41" s="141" t="s">
        <v>5</v>
      </c>
      <c r="BB41" s="142" t="s">
        <v>51</v>
      </c>
    </row>
    <row r="42" spans="49:54" ht="17.25" customHeight="1" x14ac:dyDescent="0.25">
      <c r="AW42" s="135" t="s">
        <v>47</v>
      </c>
      <c r="AX42" s="136">
        <v>21</v>
      </c>
      <c r="AY42" s="136">
        <v>41</v>
      </c>
      <c r="AZ42" s="137" t="s">
        <v>49</v>
      </c>
      <c r="BA42" s="137" t="s">
        <v>65</v>
      </c>
      <c r="BB42" s="138" t="s">
        <v>44</v>
      </c>
    </row>
    <row r="43" spans="49:54" ht="17.25" customHeight="1" x14ac:dyDescent="0.25">
      <c r="AW43" s="135" t="s">
        <v>48</v>
      </c>
      <c r="AX43" s="136">
        <v>21</v>
      </c>
      <c r="AY43" s="136">
        <v>42</v>
      </c>
      <c r="AZ43" s="137" t="s">
        <v>49</v>
      </c>
      <c r="BA43" s="137" t="s">
        <v>66</v>
      </c>
      <c r="BB43" s="138" t="s">
        <v>51</v>
      </c>
    </row>
    <row r="44" spans="49:54" ht="17.25" customHeight="1" x14ac:dyDescent="0.25">
      <c r="AW44" s="135" t="s">
        <v>47</v>
      </c>
      <c r="AX44" s="136">
        <v>22</v>
      </c>
      <c r="AY44" s="136">
        <v>43</v>
      </c>
      <c r="AZ44" s="137" t="s">
        <v>49</v>
      </c>
      <c r="BA44" s="137" t="s">
        <v>67</v>
      </c>
      <c r="BB44" s="138" t="s">
        <v>44</v>
      </c>
    </row>
    <row r="45" spans="49:54" ht="17.25" customHeight="1" x14ac:dyDescent="0.25">
      <c r="AW45" s="135" t="s">
        <v>48</v>
      </c>
      <c r="AX45" s="136">
        <v>22</v>
      </c>
      <c r="AY45" s="136">
        <v>44</v>
      </c>
      <c r="AZ45" s="137" t="s">
        <v>49</v>
      </c>
      <c r="BA45" s="137" t="s">
        <v>68</v>
      </c>
      <c r="BB45" s="138" t="s">
        <v>51</v>
      </c>
    </row>
    <row r="46" spans="49:54" ht="17.25" customHeight="1" x14ac:dyDescent="0.25">
      <c r="AW46" s="135" t="s">
        <v>47</v>
      </c>
      <c r="AX46" s="136">
        <v>23</v>
      </c>
      <c r="AY46" s="136">
        <v>45</v>
      </c>
      <c r="AZ46" s="137" t="s">
        <v>49</v>
      </c>
      <c r="BA46" s="137" t="s">
        <v>69</v>
      </c>
      <c r="BB46" s="138" t="s">
        <v>51</v>
      </c>
    </row>
    <row r="47" spans="49:54" ht="17.25" customHeight="1" x14ac:dyDescent="0.25">
      <c r="AW47" s="135" t="s">
        <v>48</v>
      </c>
      <c r="AX47" s="136">
        <v>23</v>
      </c>
      <c r="AY47" s="136">
        <v>46</v>
      </c>
      <c r="AZ47" s="137" t="s">
        <v>46</v>
      </c>
      <c r="BA47" s="137" t="s">
        <v>7</v>
      </c>
      <c r="BB47" s="138" t="s">
        <v>44</v>
      </c>
    </row>
    <row r="48" spans="49:54" ht="17.25" customHeight="1" x14ac:dyDescent="0.25">
      <c r="AW48" s="135" t="s">
        <v>47</v>
      </c>
      <c r="AX48" s="136">
        <v>24</v>
      </c>
      <c r="AY48" s="136">
        <v>47</v>
      </c>
      <c r="AZ48" s="137" t="s">
        <v>49</v>
      </c>
      <c r="BA48" s="137" t="s">
        <v>70</v>
      </c>
      <c r="BB48" s="138" t="s">
        <v>51</v>
      </c>
    </row>
    <row r="49" spans="49:54" ht="17.25" customHeight="1" x14ac:dyDescent="0.25">
      <c r="AW49" s="135" t="s">
        <v>48</v>
      </c>
      <c r="AX49" s="136">
        <v>24</v>
      </c>
      <c r="AY49" s="136">
        <v>48</v>
      </c>
      <c r="AZ49" s="137" t="s">
        <v>49</v>
      </c>
      <c r="BA49" s="137" t="s">
        <v>71</v>
      </c>
      <c r="BB49" s="138" t="s">
        <v>44</v>
      </c>
    </row>
    <row r="50" spans="49:54" ht="17.25" customHeight="1" x14ac:dyDescent="0.25">
      <c r="AW50" s="135" t="s">
        <v>47</v>
      </c>
      <c r="AX50" s="136">
        <v>25</v>
      </c>
      <c r="AY50" s="136">
        <v>49</v>
      </c>
      <c r="AZ50" s="137" t="s">
        <v>49</v>
      </c>
      <c r="BA50" s="137" t="s">
        <v>75</v>
      </c>
      <c r="BB50" s="138" t="s">
        <v>51</v>
      </c>
    </row>
    <row r="51" spans="49:54" ht="17.25" customHeight="1" x14ac:dyDescent="0.25">
      <c r="AW51" s="135" t="s">
        <v>48</v>
      </c>
      <c r="AX51" s="136">
        <v>25</v>
      </c>
      <c r="AY51" s="136">
        <v>50</v>
      </c>
      <c r="AZ51" s="137" t="s">
        <v>49</v>
      </c>
      <c r="BA51" s="137" t="s">
        <v>76</v>
      </c>
      <c r="BB51" s="138" t="s">
        <v>44</v>
      </c>
    </row>
    <row r="52" spans="49:54" ht="17.25" customHeight="1" x14ac:dyDescent="0.25">
      <c r="AW52" s="139" t="s">
        <v>77</v>
      </c>
      <c r="AX52" s="140">
        <v>26</v>
      </c>
      <c r="AY52" s="140"/>
      <c r="AZ52" s="141"/>
      <c r="BA52" s="141"/>
      <c r="BB52" s="142"/>
    </row>
  </sheetData>
  <mergeCells count="6">
    <mergeCell ref="D1:L1"/>
    <mergeCell ref="D15:L15"/>
    <mergeCell ref="T5:Y5"/>
    <mergeCell ref="T17:Y17"/>
    <mergeCell ref="N1:P3"/>
    <mergeCell ref="N15:P17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05C7-29ED-4834-A8BF-30DFE2E582C1}">
  <dimension ref="B1:DV45"/>
  <sheetViews>
    <sheetView zoomScale="25" zoomScaleNormal="25" workbookViewId="0">
      <selection activeCell="BF3" sqref="BF3:BR43"/>
    </sheetView>
  </sheetViews>
  <sheetFormatPr defaultColWidth="5.140625" defaultRowHeight="27" customHeight="1" x14ac:dyDescent="0.35"/>
  <cols>
    <col min="1" max="1" width="1.5703125" style="175" customWidth="1"/>
    <col min="2" max="14" width="5.140625" style="175"/>
    <col min="15" max="15" width="1.85546875" style="175" customWidth="1"/>
    <col min="16" max="42" width="5.140625" style="175"/>
    <col min="43" max="43" width="1.5703125" style="175" customWidth="1"/>
    <col min="44" max="70" width="5.140625" style="175"/>
    <col min="71" max="71" width="1.85546875" style="175" customWidth="1"/>
    <col min="72" max="87" width="5.140625" style="175"/>
    <col min="88" max="98" width="5.140625" style="176"/>
    <col min="99" max="99" width="1.5703125" style="176" customWidth="1"/>
    <col min="100" max="113" width="5.140625" style="176"/>
    <col min="114" max="16384" width="5.140625" style="175"/>
  </cols>
  <sheetData>
    <row r="1" spans="2:126" ht="27" customHeight="1" thickBot="1" x14ac:dyDescent="0.4"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</row>
    <row r="2" spans="2:126" ht="27" customHeight="1" thickBot="1" x14ac:dyDescent="0.4">
      <c r="B2" s="295" t="s">
        <v>86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7"/>
      <c r="P2" s="295" t="s">
        <v>78</v>
      </c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7"/>
      <c r="AR2" s="295" t="s">
        <v>79</v>
      </c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7"/>
      <c r="BT2" s="295" t="s">
        <v>80</v>
      </c>
      <c r="BU2" s="296"/>
      <c r="BV2" s="296"/>
      <c r="BW2" s="296"/>
      <c r="BX2" s="296"/>
      <c r="BY2" s="296"/>
      <c r="BZ2" s="296"/>
      <c r="CA2" s="296"/>
      <c r="CB2" s="296"/>
      <c r="CC2" s="296"/>
      <c r="CD2" s="296"/>
      <c r="CE2" s="296"/>
      <c r="CF2" s="296"/>
      <c r="CG2" s="296"/>
      <c r="CH2" s="296"/>
      <c r="CI2" s="296"/>
      <c r="CJ2" s="296"/>
      <c r="CK2" s="296"/>
      <c r="CL2" s="296"/>
      <c r="CM2" s="296"/>
      <c r="CN2" s="296"/>
      <c r="CO2" s="296"/>
      <c r="CP2" s="296"/>
      <c r="CQ2" s="296"/>
      <c r="CR2" s="296"/>
      <c r="CS2" s="296"/>
      <c r="CT2" s="297"/>
      <c r="CU2" s="175"/>
      <c r="CV2" s="295" t="s">
        <v>85</v>
      </c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6"/>
      <c r="DQ2" s="296"/>
      <c r="DR2" s="296"/>
      <c r="DS2" s="296"/>
      <c r="DT2" s="296"/>
      <c r="DU2" s="296"/>
      <c r="DV2" s="297"/>
    </row>
    <row r="3" spans="2:126" ht="27" customHeight="1" thickBot="1" x14ac:dyDescent="0.4">
      <c r="B3" s="301" t="s">
        <v>83</v>
      </c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3"/>
      <c r="P3" s="298" t="s">
        <v>37</v>
      </c>
      <c r="Q3" s="299"/>
      <c r="R3" s="299"/>
      <c r="S3" s="299"/>
      <c r="T3" s="299"/>
      <c r="U3" s="299"/>
      <c r="V3" s="299"/>
      <c r="W3" s="299"/>
      <c r="X3" s="319"/>
      <c r="Y3" s="319"/>
      <c r="Z3" s="319"/>
      <c r="AA3" s="319"/>
      <c r="AB3" s="320"/>
      <c r="AC3" s="176"/>
      <c r="AD3" s="298" t="s">
        <v>37</v>
      </c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300"/>
      <c r="AR3" s="321" t="s">
        <v>81</v>
      </c>
      <c r="AS3" s="322"/>
      <c r="AT3" s="322"/>
      <c r="AU3" s="322"/>
      <c r="AV3" s="322"/>
      <c r="AW3" s="322"/>
      <c r="AX3" s="322"/>
      <c r="AY3" s="322"/>
      <c r="AZ3" s="322"/>
      <c r="BA3" s="322"/>
      <c r="BB3" s="322"/>
      <c r="BC3" s="322"/>
      <c r="BD3" s="323"/>
      <c r="BE3" s="176"/>
      <c r="BF3" s="298" t="s">
        <v>37</v>
      </c>
      <c r="BG3" s="299"/>
      <c r="BH3" s="299"/>
      <c r="BI3" s="299"/>
      <c r="BJ3" s="299"/>
      <c r="BK3" s="299"/>
      <c r="BL3" s="299"/>
      <c r="BM3" s="299"/>
      <c r="BN3" s="299"/>
      <c r="BO3" s="299"/>
      <c r="BP3" s="299"/>
      <c r="BQ3" s="299"/>
      <c r="BR3" s="300"/>
      <c r="BT3" s="298" t="s">
        <v>37</v>
      </c>
      <c r="BU3" s="299"/>
      <c r="BV3" s="299"/>
      <c r="BW3" s="299"/>
      <c r="BX3" s="299"/>
      <c r="BY3" s="299"/>
      <c r="BZ3" s="299"/>
      <c r="CA3" s="299"/>
      <c r="CB3" s="299"/>
      <c r="CC3" s="299"/>
      <c r="CD3" s="299"/>
      <c r="CE3" s="299"/>
      <c r="CF3" s="300"/>
      <c r="CG3" s="176"/>
      <c r="CH3" s="298" t="s">
        <v>37</v>
      </c>
      <c r="CI3" s="299"/>
      <c r="CJ3" s="299"/>
      <c r="CK3" s="299"/>
      <c r="CL3" s="299"/>
      <c r="CM3" s="299"/>
      <c r="CN3" s="299"/>
      <c r="CO3" s="299"/>
      <c r="CP3" s="299"/>
      <c r="CQ3" s="299"/>
      <c r="CR3" s="299"/>
      <c r="CS3" s="299"/>
      <c r="CT3" s="300"/>
      <c r="CU3" s="175"/>
      <c r="CV3" s="298" t="s">
        <v>37</v>
      </c>
      <c r="CW3" s="299"/>
      <c r="CX3" s="299"/>
      <c r="CY3" s="299"/>
      <c r="CZ3" s="299"/>
      <c r="DA3" s="299"/>
      <c r="DB3" s="299"/>
      <c r="DC3" s="299"/>
      <c r="DD3" s="299"/>
      <c r="DE3" s="299"/>
      <c r="DF3" s="299"/>
      <c r="DG3" s="299"/>
      <c r="DH3" s="300"/>
      <c r="DJ3" s="298" t="s">
        <v>37</v>
      </c>
      <c r="DK3" s="299"/>
      <c r="DL3" s="299"/>
      <c r="DM3" s="299"/>
      <c r="DN3" s="299"/>
      <c r="DO3" s="299"/>
      <c r="DP3" s="299"/>
      <c r="DQ3" s="299"/>
      <c r="DR3" s="299"/>
      <c r="DS3" s="299"/>
      <c r="DT3" s="299"/>
      <c r="DU3" s="299"/>
      <c r="DV3" s="300"/>
    </row>
    <row r="4" spans="2:126" ht="27" customHeight="1" thickBot="1" x14ac:dyDescent="0.4">
      <c r="B4" s="177">
        <v>1</v>
      </c>
      <c r="C4" s="178" t="s">
        <v>11</v>
      </c>
      <c r="D4" s="178" t="s">
        <v>0</v>
      </c>
      <c r="E4" s="178" t="s">
        <v>22</v>
      </c>
      <c r="F4" s="179"/>
      <c r="G4" s="180"/>
      <c r="H4" s="180"/>
      <c r="I4" s="180"/>
      <c r="J4" s="180"/>
      <c r="K4" s="181"/>
      <c r="L4" s="182"/>
      <c r="M4" s="183"/>
      <c r="N4" s="184"/>
      <c r="P4" s="185">
        <v>1</v>
      </c>
      <c r="Q4" s="186" t="s">
        <v>27</v>
      </c>
      <c r="R4" s="186" t="s">
        <v>27</v>
      </c>
      <c r="S4" s="186" t="s">
        <v>27</v>
      </c>
      <c r="T4" s="143"/>
      <c r="U4" s="143"/>
      <c r="V4" s="187"/>
      <c r="W4" s="188"/>
      <c r="X4" s="329" t="s">
        <v>37</v>
      </c>
      <c r="Y4" s="319"/>
      <c r="Z4" s="319"/>
      <c r="AA4" s="319"/>
      <c r="AB4" s="320"/>
      <c r="AC4" s="176"/>
      <c r="AD4" s="185">
        <v>1</v>
      </c>
      <c r="AE4" s="186" t="s">
        <v>27</v>
      </c>
      <c r="AF4" s="186" t="s">
        <v>27</v>
      </c>
      <c r="AG4" s="186" t="s">
        <v>27</v>
      </c>
      <c r="AH4" s="143"/>
      <c r="AI4" s="143"/>
      <c r="AJ4" s="187"/>
      <c r="AK4" s="188"/>
      <c r="AL4" s="329" t="s">
        <v>37</v>
      </c>
      <c r="AM4" s="319"/>
      <c r="AN4" s="319"/>
      <c r="AO4" s="319"/>
      <c r="AP4" s="320"/>
      <c r="AR4" s="177">
        <v>1</v>
      </c>
      <c r="AS4" s="144" t="s">
        <v>17</v>
      </c>
      <c r="AT4" s="144" t="s">
        <v>0</v>
      </c>
      <c r="AU4" s="144" t="s">
        <v>22</v>
      </c>
      <c r="AV4" s="145"/>
      <c r="AW4" s="145"/>
      <c r="AX4" s="183"/>
      <c r="AY4" s="189"/>
      <c r="AZ4" s="307" t="s">
        <v>81</v>
      </c>
      <c r="BA4" s="308"/>
      <c r="BB4" s="308"/>
      <c r="BC4" s="308"/>
      <c r="BD4" s="309"/>
      <c r="BE4" s="176"/>
      <c r="BF4" s="185">
        <v>1</v>
      </c>
      <c r="BG4" s="186" t="s">
        <v>27</v>
      </c>
      <c r="BH4" s="186" t="s">
        <v>27</v>
      </c>
      <c r="BI4" s="186" t="s">
        <v>27</v>
      </c>
      <c r="BJ4" s="143"/>
      <c r="BK4" s="143"/>
      <c r="BL4" s="187"/>
      <c r="BM4" s="188"/>
      <c r="BN4" s="329" t="s">
        <v>37</v>
      </c>
      <c r="BO4" s="319"/>
      <c r="BP4" s="319"/>
      <c r="BQ4" s="319"/>
      <c r="BR4" s="320"/>
      <c r="BT4" s="185">
        <v>1</v>
      </c>
      <c r="BU4" s="186" t="s">
        <v>27</v>
      </c>
      <c r="BV4" s="186" t="s">
        <v>27</v>
      </c>
      <c r="BW4" s="186" t="s">
        <v>27</v>
      </c>
      <c r="BX4" s="143"/>
      <c r="BY4" s="143"/>
      <c r="BZ4" s="187"/>
      <c r="CA4" s="188"/>
      <c r="CB4" s="329" t="s">
        <v>37</v>
      </c>
      <c r="CC4" s="319"/>
      <c r="CD4" s="319"/>
      <c r="CE4" s="319"/>
      <c r="CF4" s="320"/>
      <c r="CG4" s="176"/>
      <c r="CH4" s="185">
        <v>1</v>
      </c>
      <c r="CI4" s="186" t="s">
        <v>27</v>
      </c>
      <c r="CJ4" s="186" t="s">
        <v>27</v>
      </c>
      <c r="CK4" s="186" t="s">
        <v>27</v>
      </c>
      <c r="CL4" s="143"/>
      <c r="CM4" s="143"/>
      <c r="CN4" s="187"/>
      <c r="CO4" s="188"/>
      <c r="CP4" s="329" t="s">
        <v>37</v>
      </c>
      <c r="CQ4" s="319"/>
      <c r="CR4" s="319"/>
      <c r="CS4" s="319"/>
      <c r="CT4" s="320"/>
      <c r="CU4" s="175"/>
      <c r="CV4" s="185">
        <v>1</v>
      </c>
      <c r="CW4" s="186" t="s">
        <v>27</v>
      </c>
      <c r="CX4" s="186" t="s">
        <v>27</v>
      </c>
      <c r="CY4" s="186" t="s">
        <v>27</v>
      </c>
      <c r="CZ4" s="143"/>
      <c r="DA4" s="143"/>
      <c r="DB4" s="187"/>
      <c r="DC4" s="188"/>
      <c r="DD4" s="329" t="s">
        <v>37</v>
      </c>
      <c r="DE4" s="319"/>
      <c r="DF4" s="319"/>
      <c r="DG4" s="319"/>
      <c r="DH4" s="320"/>
      <c r="DJ4" s="185">
        <v>1</v>
      </c>
      <c r="DK4" s="186" t="s">
        <v>27</v>
      </c>
      <c r="DL4" s="186" t="s">
        <v>27</v>
      </c>
      <c r="DM4" s="186" t="s">
        <v>27</v>
      </c>
      <c r="DN4" s="143"/>
      <c r="DO4" s="143"/>
      <c r="DP4" s="187"/>
      <c r="DQ4" s="188"/>
      <c r="DR4" s="329" t="s">
        <v>37</v>
      </c>
      <c r="DS4" s="319"/>
      <c r="DT4" s="319"/>
      <c r="DU4" s="319"/>
      <c r="DV4" s="320"/>
    </row>
    <row r="5" spans="2:126" ht="27" customHeight="1" thickBot="1" x14ac:dyDescent="0.4">
      <c r="B5" s="190">
        <v>2</v>
      </c>
      <c r="C5" s="191" t="s">
        <v>27</v>
      </c>
      <c r="D5" s="191" t="s">
        <v>27</v>
      </c>
      <c r="E5" s="191" t="s">
        <v>27</v>
      </c>
      <c r="F5" s="191" t="s">
        <v>27</v>
      </c>
      <c r="G5" s="192"/>
      <c r="H5" s="192"/>
      <c r="I5" s="192"/>
      <c r="J5" s="192"/>
      <c r="K5" s="193"/>
      <c r="L5" s="194"/>
      <c r="M5" s="195"/>
      <c r="N5" s="196"/>
      <c r="P5" s="190">
        <v>2</v>
      </c>
      <c r="Q5" s="191" t="s">
        <v>27</v>
      </c>
      <c r="R5" s="191" t="s">
        <v>27</v>
      </c>
      <c r="S5" s="191" t="s">
        <v>27</v>
      </c>
      <c r="T5" s="191" t="s">
        <v>27</v>
      </c>
      <c r="U5" s="195"/>
      <c r="V5" s="195"/>
      <c r="W5" s="197"/>
      <c r="X5" s="330" t="s">
        <v>87</v>
      </c>
      <c r="Y5" s="331"/>
      <c r="Z5" s="331"/>
      <c r="AA5" s="331"/>
      <c r="AB5" s="332"/>
      <c r="AC5" s="176"/>
      <c r="AD5" s="190">
        <v>2</v>
      </c>
      <c r="AE5" s="191" t="s">
        <v>27</v>
      </c>
      <c r="AF5" s="191" t="s">
        <v>27</v>
      </c>
      <c r="AG5" s="191" t="s">
        <v>27</v>
      </c>
      <c r="AH5" s="191" t="s">
        <v>27</v>
      </c>
      <c r="AI5" s="195"/>
      <c r="AJ5" s="195"/>
      <c r="AK5" s="195"/>
      <c r="AL5" s="330" t="s">
        <v>87</v>
      </c>
      <c r="AM5" s="331"/>
      <c r="AN5" s="331"/>
      <c r="AO5" s="331"/>
      <c r="AP5" s="332"/>
      <c r="AR5" s="190">
        <v>2</v>
      </c>
      <c r="AS5" s="146" t="s">
        <v>7</v>
      </c>
      <c r="AT5" s="146" t="s">
        <v>14</v>
      </c>
      <c r="AU5" s="146" t="s">
        <v>11</v>
      </c>
      <c r="AV5" s="146" t="s">
        <v>3</v>
      </c>
      <c r="AW5" s="143"/>
      <c r="AX5" s="195"/>
      <c r="AY5" s="197"/>
      <c r="AZ5" s="310" t="s">
        <v>88</v>
      </c>
      <c r="BA5" s="311"/>
      <c r="BB5" s="311"/>
      <c r="BC5" s="311"/>
      <c r="BD5" s="312"/>
      <c r="BE5" s="176"/>
      <c r="BF5" s="190">
        <v>2</v>
      </c>
      <c r="BG5" s="191" t="s">
        <v>27</v>
      </c>
      <c r="BH5" s="191" t="s">
        <v>27</v>
      </c>
      <c r="BI5" s="191" t="s">
        <v>27</v>
      </c>
      <c r="BJ5" s="191" t="s">
        <v>27</v>
      </c>
      <c r="BK5" s="195"/>
      <c r="BL5" s="195"/>
      <c r="BM5" s="195"/>
      <c r="BN5" s="330" t="s">
        <v>87</v>
      </c>
      <c r="BO5" s="331"/>
      <c r="BP5" s="331"/>
      <c r="BQ5" s="331"/>
      <c r="BR5" s="332"/>
      <c r="BT5" s="190">
        <v>2</v>
      </c>
      <c r="BU5" s="191" t="s">
        <v>27</v>
      </c>
      <c r="BV5" s="191" t="s">
        <v>27</v>
      </c>
      <c r="BW5" s="191" t="s">
        <v>27</v>
      </c>
      <c r="BX5" s="191" t="s">
        <v>27</v>
      </c>
      <c r="BY5" s="195"/>
      <c r="BZ5" s="195"/>
      <c r="CA5" s="195"/>
      <c r="CB5" s="330" t="s">
        <v>87</v>
      </c>
      <c r="CC5" s="331"/>
      <c r="CD5" s="331"/>
      <c r="CE5" s="331"/>
      <c r="CF5" s="332"/>
      <c r="CG5" s="176"/>
      <c r="CH5" s="190">
        <v>2</v>
      </c>
      <c r="CI5" s="191" t="s">
        <v>27</v>
      </c>
      <c r="CJ5" s="191" t="s">
        <v>27</v>
      </c>
      <c r="CK5" s="191" t="s">
        <v>27</v>
      </c>
      <c r="CL5" s="191" t="s">
        <v>27</v>
      </c>
      <c r="CM5" s="195"/>
      <c r="CN5" s="195"/>
      <c r="CO5" s="195"/>
      <c r="CP5" s="330" t="s">
        <v>87</v>
      </c>
      <c r="CQ5" s="331"/>
      <c r="CR5" s="331"/>
      <c r="CS5" s="331"/>
      <c r="CT5" s="332"/>
      <c r="CU5" s="175"/>
      <c r="CV5" s="190">
        <v>2</v>
      </c>
      <c r="CW5" s="191" t="s">
        <v>27</v>
      </c>
      <c r="CX5" s="191" t="s">
        <v>27</v>
      </c>
      <c r="CY5" s="191" t="s">
        <v>27</v>
      </c>
      <c r="CZ5" s="191" t="s">
        <v>27</v>
      </c>
      <c r="DA5" s="195"/>
      <c r="DB5" s="195"/>
      <c r="DC5" s="195"/>
      <c r="DD5" s="330" t="s">
        <v>87</v>
      </c>
      <c r="DE5" s="331"/>
      <c r="DF5" s="331"/>
      <c r="DG5" s="331"/>
      <c r="DH5" s="332"/>
      <c r="DJ5" s="190">
        <v>2</v>
      </c>
      <c r="DK5" s="191" t="s">
        <v>27</v>
      </c>
      <c r="DL5" s="191" t="s">
        <v>27</v>
      </c>
      <c r="DM5" s="191" t="s">
        <v>27</v>
      </c>
      <c r="DN5" s="191" t="s">
        <v>27</v>
      </c>
      <c r="DO5" s="195"/>
      <c r="DP5" s="195"/>
      <c r="DQ5" s="195"/>
      <c r="DR5" s="330" t="s">
        <v>87</v>
      </c>
      <c r="DS5" s="331"/>
      <c r="DT5" s="331"/>
      <c r="DU5" s="331"/>
      <c r="DV5" s="332"/>
    </row>
    <row r="6" spans="2:126" ht="27" customHeight="1" x14ac:dyDescent="0.35">
      <c r="B6" s="190">
        <v>3</v>
      </c>
      <c r="C6" s="191" t="s">
        <v>27</v>
      </c>
      <c r="D6" s="191" t="s">
        <v>27</v>
      </c>
      <c r="E6" s="191" t="s">
        <v>27</v>
      </c>
      <c r="F6" s="178" t="s">
        <v>27</v>
      </c>
      <c r="G6" s="178" t="s">
        <v>27</v>
      </c>
      <c r="H6" s="198"/>
      <c r="I6" s="192"/>
      <c r="J6" s="192"/>
      <c r="K6" s="193"/>
      <c r="L6" s="194"/>
      <c r="M6" s="195"/>
      <c r="N6" s="196"/>
      <c r="P6" s="190">
        <v>3</v>
      </c>
      <c r="Q6" s="191" t="s">
        <v>27</v>
      </c>
      <c r="R6" s="191" t="s">
        <v>27</v>
      </c>
      <c r="S6" s="191" t="s">
        <v>27</v>
      </c>
      <c r="T6" s="191" t="s">
        <v>27</v>
      </c>
      <c r="U6" s="191" t="s">
        <v>27</v>
      </c>
      <c r="V6" s="195"/>
      <c r="W6" s="197"/>
      <c r="X6" s="333" t="s">
        <v>38</v>
      </c>
      <c r="Y6" s="334"/>
      <c r="Z6" s="334"/>
      <c r="AA6" s="334"/>
      <c r="AB6" s="335"/>
      <c r="AC6" s="176"/>
      <c r="AD6" s="190">
        <v>3</v>
      </c>
      <c r="AE6" s="191" t="s">
        <v>27</v>
      </c>
      <c r="AF6" s="191" t="s">
        <v>27</v>
      </c>
      <c r="AG6" s="191" t="s">
        <v>27</v>
      </c>
      <c r="AH6" s="191" t="s">
        <v>27</v>
      </c>
      <c r="AI6" s="191" t="s">
        <v>27</v>
      </c>
      <c r="AJ6" s="195"/>
      <c r="AK6" s="195"/>
      <c r="AL6" s="333" t="s">
        <v>38</v>
      </c>
      <c r="AM6" s="334"/>
      <c r="AN6" s="334"/>
      <c r="AO6" s="334"/>
      <c r="AP6" s="335"/>
      <c r="AR6" s="190">
        <v>3</v>
      </c>
      <c r="AS6" s="147" t="s">
        <v>1</v>
      </c>
      <c r="AT6" s="147" t="s">
        <v>4</v>
      </c>
      <c r="AU6" s="147" t="s">
        <v>0</v>
      </c>
      <c r="AV6" s="147" t="s">
        <v>18</v>
      </c>
      <c r="AW6" s="147" t="s">
        <v>19</v>
      </c>
      <c r="AX6" s="195"/>
      <c r="AY6" s="195"/>
      <c r="AZ6" s="313" t="s">
        <v>82</v>
      </c>
      <c r="BA6" s="314"/>
      <c r="BB6" s="314"/>
      <c r="BC6" s="314"/>
      <c r="BD6" s="315"/>
      <c r="BE6" s="176"/>
      <c r="BF6" s="190">
        <v>3</v>
      </c>
      <c r="BG6" s="191" t="s">
        <v>27</v>
      </c>
      <c r="BH6" s="191" t="s">
        <v>27</v>
      </c>
      <c r="BI6" s="191" t="s">
        <v>27</v>
      </c>
      <c r="BJ6" s="191" t="s">
        <v>27</v>
      </c>
      <c r="BK6" s="191" t="s">
        <v>27</v>
      </c>
      <c r="BL6" s="195"/>
      <c r="BM6" s="195"/>
      <c r="BN6" s="333" t="s">
        <v>38</v>
      </c>
      <c r="BO6" s="334"/>
      <c r="BP6" s="334"/>
      <c r="BQ6" s="334"/>
      <c r="BR6" s="335"/>
      <c r="BT6" s="190">
        <v>3</v>
      </c>
      <c r="BU6" s="191" t="s">
        <v>27</v>
      </c>
      <c r="BV6" s="191" t="s">
        <v>27</v>
      </c>
      <c r="BW6" s="191" t="s">
        <v>27</v>
      </c>
      <c r="BX6" s="191" t="s">
        <v>27</v>
      </c>
      <c r="BY6" s="191" t="s">
        <v>27</v>
      </c>
      <c r="BZ6" s="195"/>
      <c r="CA6" s="195"/>
      <c r="CB6" s="333" t="s">
        <v>38</v>
      </c>
      <c r="CC6" s="334"/>
      <c r="CD6" s="334"/>
      <c r="CE6" s="334"/>
      <c r="CF6" s="335"/>
      <c r="CG6" s="176"/>
      <c r="CH6" s="190">
        <v>3</v>
      </c>
      <c r="CI6" s="191" t="s">
        <v>27</v>
      </c>
      <c r="CJ6" s="191" t="s">
        <v>27</v>
      </c>
      <c r="CK6" s="191" t="s">
        <v>27</v>
      </c>
      <c r="CL6" s="191" t="s">
        <v>27</v>
      </c>
      <c r="CM6" s="191" t="s">
        <v>27</v>
      </c>
      <c r="CN6" s="195"/>
      <c r="CO6" s="195"/>
      <c r="CP6" s="333" t="s">
        <v>38</v>
      </c>
      <c r="CQ6" s="334"/>
      <c r="CR6" s="334"/>
      <c r="CS6" s="334"/>
      <c r="CT6" s="335"/>
      <c r="CU6" s="175"/>
      <c r="CV6" s="190">
        <v>3</v>
      </c>
      <c r="CW6" s="191" t="s">
        <v>27</v>
      </c>
      <c r="CX6" s="191" t="s">
        <v>27</v>
      </c>
      <c r="CY6" s="191" t="s">
        <v>27</v>
      </c>
      <c r="CZ6" s="191" t="s">
        <v>27</v>
      </c>
      <c r="DA6" s="191" t="s">
        <v>27</v>
      </c>
      <c r="DB6" s="195"/>
      <c r="DC6" s="195"/>
      <c r="DD6" s="333" t="s">
        <v>38</v>
      </c>
      <c r="DE6" s="334"/>
      <c r="DF6" s="334"/>
      <c r="DG6" s="334"/>
      <c r="DH6" s="335"/>
      <c r="DJ6" s="190">
        <v>3</v>
      </c>
      <c r="DK6" s="191" t="s">
        <v>27</v>
      </c>
      <c r="DL6" s="191" t="s">
        <v>27</v>
      </c>
      <c r="DM6" s="191" t="s">
        <v>27</v>
      </c>
      <c r="DN6" s="191" t="s">
        <v>27</v>
      </c>
      <c r="DO6" s="191" t="s">
        <v>27</v>
      </c>
      <c r="DP6" s="195"/>
      <c r="DQ6" s="195"/>
      <c r="DR6" s="333" t="s">
        <v>38</v>
      </c>
      <c r="DS6" s="334"/>
      <c r="DT6" s="334"/>
      <c r="DU6" s="334"/>
      <c r="DV6" s="335"/>
    </row>
    <row r="7" spans="2:126" ht="27" customHeight="1" thickBot="1" x14ac:dyDescent="0.4">
      <c r="B7" s="158">
        <v>4</v>
      </c>
      <c r="C7" s="199" t="s">
        <v>27</v>
      </c>
      <c r="D7" s="199" t="s">
        <v>27</v>
      </c>
      <c r="E7" s="199" t="s">
        <v>27</v>
      </c>
      <c r="F7" s="199" t="s">
        <v>27</v>
      </c>
      <c r="G7" s="199" t="s">
        <v>27</v>
      </c>
      <c r="H7" s="199" t="s">
        <v>27</v>
      </c>
      <c r="I7" s="200"/>
      <c r="J7" s="200"/>
      <c r="K7" s="201"/>
      <c r="L7" s="202"/>
      <c r="M7" s="203"/>
      <c r="N7" s="204"/>
      <c r="P7" s="205"/>
      <c r="Q7" s="206"/>
      <c r="R7" s="206"/>
      <c r="S7" s="206"/>
      <c r="T7" s="206"/>
      <c r="U7" s="206"/>
      <c r="V7" s="206"/>
      <c r="W7" s="207"/>
      <c r="X7" s="336" t="s">
        <v>87</v>
      </c>
      <c r="Y7" s="337"/>
      <c r="Z7" s="337"/>
      <c r="AA7" s="337"/>
      <c r="AB7" s="338"/>
      <c r="AC7" s="176"/>
      <c r="AD7" s="190">
        <v>4</v>
      </c>
      <c r="AE7" s="191" t="s">
        <v>27</v>
      </c>
      <c r="AF7" s="191" t="s">
        <v>27</v>
      </c>
      <c r="AG7" s="191" t="s">
        <v>27</v>
      </c>
      <c r="AH7" s="191" t="s">
        <v>27</v>
      </c>
      <c r="AI7" s="191" t="s">
        <v>27</v>
      </c>
      <c r="AJ7" s="191" t="s">
        <v>27</v>
      </c>
      <c r="AK7" s="206"/>
      <c r="AL7" s="336" t="s">
        <v>87</v>
      </c>
      <c r="AM7" s="337"/>
      <c r="AN7" s="337"/>
      <c r="AO7" s="337"/>
      <c r="AP7" s="338"/>
      <c r="AR7" s="205"/>
      <c r="AS7" s="206"/>
      <c r="AT7" s="206"/>
      <c r="AU7" s="206"/>
      <c r="AV7" s="206"/>
      <c r="AW7" s="206"/>
      <c r="AX7" s="206"/>
      <c r="AY7" s="206"/>
      <c r="AZ7" s="316" t="s">
        <v>89</v>
      </c>
      <c r="BA7" s="317"/>
      <c r="BB7" s="317"/>
      <c r="BC7" s="317"/>
      <c r="BD7" s="318"/>
      <c r="BE7" s="176"/>
      <c r="BF7" s="190">
        <v>4</v>
      </c>
      <c r="BG7" s="191" t="s">
        <v>27</v>
      </c>
      <c r="BH7" s="191" t="s">
        <v>27</v>
      </c>
      <c r="BI7" s="191" t="s">
        <v>27</v>
      </c>
      <c r="BJ7" s="191" t="s">
        <v>27</v>
      </c>
      <c r="BK7" s="191" t="s">
        <v>27</v>
      </c>
      <c r="BL7" s="191" t="s">
        <v>27</v>
      </c>
      <c r="BM7" s="206"/>
      <c r="BN7" s="336" t="s">
        <v>87</v>
      </c>
      <c r="BO7" s="337"/>
      <c r="BP7" s="337"/>
      <c r="BQ7" s="337"/>
      <c r="BR7" s="338"/>
      <c r="BT7" s="205"/>
      <c r="BU7" s="206"/>
      <c r="BV7" s="206"/>
      <c r="BW7" s="206"/>
      <c r="BX7" s="206"/>
      <c r="BY7" s="206"/>
      <c r="BZ7" s="206"/>
      <c r="CA7" s="206"/>
      <c r="CB7" s="336" t="s">
        <v>87</v>
      </c>
      <c r="CC7" s="337"/>
      <c r="CD7" s="337"/>
      <c r="CE7" s="337"/>
      <c r="CF7" s="338"/>
      <c r="CG7" s="176"/>
      <c r="CH7" s="190">
        <v>4</v>
      </c>
      <c r="CI7" s="191" t="s">
        <v>27</v>
      </c>
      <c r="CJ7" s="191" t="s">
        <v>27</v>
      </c>
      <c r="CK7" s="191" t="s">
        <v>27</v>
      </c>
      <c r="CL7" s="191" t="s">
        <v>27</v>
      </c>
      <c r="CM7" s="191" t="s">
        <v>27</v>
      </c>
      <c r="CN7" s="191" t="s">
        <v>27</v>
      </c>
      <c r="CO7" s="206"/>
      <c r="CP7" s="336" t="s">
        <v>87</v>
      </c>
      <c r="CQ7" s="337"/>
      <c r="CR7" s="337"/>
      <c r="CS7" s="337"/>
      <c r="CT7" s="338"/>
      <c r="CU7" s="175"/>
      <c r="CV7" s="205"/>
      <c r="CW7" s="206"/>
      <c r="CX7" s="206"/>
      <c r="CY7" s="206"/>
      <c r="CZ7" s="206"/>
      <c r="DA7" s="206"/>
      <c r="DB7" s="206"/>
      <c r="DC7" s="206"/>
      <c r="DD7" s="336" t="s">
        <v>87</v>
      </c>
      <c r="DE7" s="337"/>
      <c r="DF7" s="337"/>
      <c r="DG7" s="337"/>
      <c r="DH7" s="338"/>
      <c r="DJ7" s="190">
        <v>4</v>
      </c>
      <c r="DK7" s="191" t="s">
        <v>27</v>
      </c>
      <c r="DL7" s="191" t="s">
        <v>27</v>
      </c>
      <c r="DM7" s="191" t="s">
        <v>27</v>
      </c>
      <c r="DN7" s="191" t="s">
        <v>27</v>
      </c>
      <c r="DO7" s="191" t="s">
        <v>27</v>
      </c>
      <c r="DP7" s="191" t="s">
        <v>27</v>
      </c>
      <c r="DQ7" s="206"/>
      <c r="DR7" s="336" t="s">
        <v>87</v>
      </c>
      <c r="DS7" s="337"/>
      <c r="DT7" s="337"/>
      <c r="DU7" s="337"/>
      <c r="DV7" s="338"/>
    </row>
    <row r="8" spans="2:126" ht="27" customHeight="1" x14ac:dyDescent="0.35">
      <c r="B8" s="208" t="s">
        <v>0</v>
      </c>
      <c r="C8" s="169" t="s">
        <v>1</v>
      </c>
      <c r="D8" s="169" t="s">
        <v>2</v>
      </c>
      <c r="E8" s="169" t="s">
        <v>3</v>
      </c>
      <c r="F8" s="169" t="s">
        <v>4</v>
      </c>
      <c r="G8" s="169" t="s">
        <v>5</v>
      </c>
      <c r="H8" s="169" t="s">
        <v>6</v>
      </c>
      <c r="I8" s="169" t="s">
        <v>7</v>
      </c>
      <c r="J8" s="169" t="s">
        <v>8</v>
      </c>
      <c r="K8" s="169" t="s">
        <v>9</v>
      </c>
      <c r="L8" s="169" t="s">
        <v>10</v>
      </c>
      <c r="M8" s="169" t="s">
        <v>11</v>
      </c>
      <c r="N8" s="209" t="s">
        <v>12</v>
      </c>
      <c r="P8" s="208" t="s">
        <v>0</v>
      </c>
      <c r="Q8" s="169" t="s">
        <v>1</v>
      </c>
      <c r="R8" s="169" t="s">
        <v>2</v>
      </c>
      <c r="S8" s="169" t="s">
        <v>3</v>
      </c>
      <c r="T8" s="169" t="s">
        <v>4</v>
      </c>
      <c r="U8" s="169" t="s">
        <v>5</v>
      </c>
      <c r="V8" s="169" t="s">
        <v>6</v>
      </c>
      <c r="W8" s="169" t="s">
        <v>7</v>
      </c>
      <c r="X8" s="210" t="s">
        <v>8</v>
      </c>
      <c r="Y8" s="210" t="s">
        <v>9</v>
      </c>
      <c r="Z8" s="210" t="s">
        <v>10</v>
      </c>
      <c r="AA8" s="210" t="s">
        <v>11</v>
      </c>
      <c r="AB8" s="211" t="s">
        <v>12</v>
      </c>
      <c r="AC8" s="176"/>
      <c r="AD8" s="208" t="s">
        <v>0</v>
      </c>
      <c r="AE8" s="169" t="s">
        <v>1</v>
      </c>
      <c r="AF8" s="169" t="s">
        <v>2</v>
      </c>
      <c r="AG8" s="169" t="s">
        <v>3</v>
      </c>
      <c r="AH8" s="169" t="s">
        <v>4</v>
      </c>
      <c r="AI8" s="169" t="s">
        <v>5</v>
      </c>
      <c r="AJ8" s="169" t="s">
        <v>6</v>
      </c>
      <c r="AK8" s="169" t="s">
        <v>7</v>
      </c>
      <c r="AL8" s="169" t="s">
        <v>8</v>
      </c>
      <c r="AM8" s="169" t="s">
        <v>9</v>
      </c>
      <c r="AN8" s="169" t="s">
        <v>10</v>
      </c>
      <c r="AO8" s="169" t="s">
        <v>11</v>
      </c>
      <c r="AP8" s="209" t="s">
        <v>12</v>
      </c>
      <c r="AR8" s="148" t="s">
        <v>0</v>
      </c>
      <c r="AS8" s="149" t="s">
        <v>1</v>
      </c>
      <c r="AT8" s="150" t="s">
        <v>2</v>
      </c>
      <c r="AU8" s="149" t="s">
        <v>3</v>
      </c>
      <c r="AV8" s="149" t="s">
        <v>4</v>
      </c>
      <c r="AW8" s="151" t="s">
        <v>5</v>
      </c>
      <c r="AX8" s="150" t="s">
        <v>6</v>
      </c>
      <c r="AY8" s="149" t="s">
        <v>7</v>
      </c>
      <c r="AZ8" s="169" t="s">
        <v>8</v>
      </c>
      <c r="BA8" s="169" t="s">
        <v>9</v>
      </c>
      <c r="BB8" s="169" t="s">
        <v>10</v>
      </c>
      <c r="BC8" s="149" t="s">
        <v>11</v>
      </c>
      <c r="BD8" s="152" t="s">
        <v>12</v>
      </c>
      <c r="BE8" s="176"/>
      <c r="BF8" s="208" t="s">
        <v>0</v>
      </c>
      <c r="BG8" s="169" t="s">
        <v>1</v>
      </c>
      <c r="BH8" s="169" t="s">
        <v>2</v>
      </c>
      <c r="BI8" s="169" t="s">
        <v>3</v>
      </c>
      <c r="BJ8" s="169" t="s">
        <v>4</v>
      </c>
      <c r="BK8" s="169" t="s">
        <v>5</v>
      </c>
      <c r="BL8" s="169" t="s">
        <v>6</v>
      </c>
      <c r="BM8" s="169" t="s">
        <v>7</v>
      </c>
      <c r="BN8" s="169" t="s">
        <v>8</v>
      </c>
      <c r="BO8" s="169" t="s">
        <v>9</v>
      </c>
      <c r="BP8" s="169" t="s">
        <v>10</v>
      </c>
      <c r="BQ8" s="169" t="s">
        <v>11</v>
      </c>
      <c r="BR8" s="209" t="s">
        <v>12</v>
      </c>
      <c r="BT8" s="208" t="s">
        <v>0</v>
      </c>
      <c r="BU8" s="169" t="s">
        <v>1</v>
      </c>
      <c r="BV8" s="169" t="s">
        <v>2</v>
      </c>
      <c r="BW8" s="169" t="s">
        <v>3</v>
      </c>
      <c r="BX8" s="169" t="s">
        <v>4</v>
      </c>
      <c r="BY8" s="169" t="s">
        <v>5</v>
      </c>
      <c r="BZ8" s="169" t="s">
        <v>6</v>
      </c>
      <c r="CA8" s="169" t="s">
        <v>7</v>
      </c>
      <c r="CB8" s="169" t="s">
        <v>8</v>
      </c>
      <c r="CC8" s="169" t="s">
        <v>9</v>
      </c>
      <c r="CD8" s="169" t="s">
        <v>10</v>
      </c>
      <c r="CE8" s="169" t="s">
        <v>11</v>
      </c>
      <c r="CF8" s="209" t="s">
        <v>12</v>
      </c>
      <c r="CG8" s="176"/>
      <c r="CH8" s="208" t="s">
        <v>0</v>
      </c>
      <c r="CI8" s="169" t="s">
        <v>1</v>
      </c>
      <c r="CJ8" s="169" t="s">
        <v>2</v>
      </c>
      <c r="CK8" s="169" t="s">
        <v>3</v>
      </c>
      <c r="CL8" s="169" t="s">
        <v>4</v>
      </c>
      <c r="CM8" s="169" t="s">
        <v>5</v>
      </c>
      <c r="CN8" s="169" t="s">
        <v>6</v>
      </c>
      <c r="CO8" s="169" t="s">
        <v>7</v>
      </c>
      <c r="CP8" s="169" t="s">
        <v>8</v>
      </c>
      <c r="CQ8" s="169" t="s">
        <v>9</v>
      </c>
      <c r="CR8" s="169" t="s">
        <v>10</v>
      </c>
      <c r="CS8" s="169" t="s">
        <v>11</v>
      </c>
      <c r="CT8" s="209" t="s">
        <v>12</v>
      </c>
      <c r="CU8" s="175"/>
      <c r="CV8" s="208" t="s">
        <v>0</v>
      </c>
      <c r="CW8" s="169" t="s">
        <v>1</v>
      </c>
      <c r="CX8" s="169" t="s">
        <v>2</v>
      </c>
      <c r="CY8" s="169" t="s">
        <v>3</v>
      </c>
      <c r="CZ8" s="169" t="s">
        <v>4</v>
      </c>
      <c r="DA8" s="169" t="s">
        <v>5</v>
      </c>
      <c r="DB8" s="169" t="s">
        <v>6</v>
      </c>
      <c r="DC8" s="169" t="s">
        <v>7</v>
      </c>
      <c r="DD8" s="169" t="s">
        <v>8</v>
      </c>
      <c r="DE8" s="169" t="s">
        <v>9</v>
      </c>
      <c r="DF8" s="169" t="s">
        <v>10</v>
      </c>
      <c r="DG8" s="169" t="s">
        <v>11</v>
      </c>
      <c r="DH8" s="209" t="s">
        <v>12</v>
      </c>
      <c r="DJ8" s="208" t="s">
        <v>0</v>
      </c>
      <c r="DK8" s="169" t="s">
        <v>1</v>
      </c>
      <c r="DL8" s="169" t="s">
        <v>2</v>
      </c>
      <c r="DM8" s="169" t="s">
        <v>3</v>
      </c>
      <c r="DN8" s="169" t="s">
        <v>4</v>
      </c>
      <c r="DO8" s="169" t="s">
        <v>5</v>
      </c>
      <c r="DP8" s="169" t="s">
        <v>6</v>
      </c>
      <c r="DQ8" s="169" t="s">
        <v>7</v>
      </c>
      <c r="DR8" s="169" t="s">
        <v>8</v>
      </c>
      <c r="DS8" s="169" t="s">
        <v>9</v>
      </c>
      <c r="DT8" s="169" t="s">
        <v>10</v>
      </c>
      <c r="DU8" s="169" t="s">
        <v>11</v>
      </c>
      <c r="DV8" s="209" t="s">
        <v>12</v>
      </c>
    </row>
    <row r="9" spans="2:126" ht="27" customHeight="1" thickBot="1" x14ac:dyDescent="0.4">
      <c r="B9" s="212" t="s">
        <v>13</v>
      </c>
      <c r="C9" s="213" t="s">
        <v>14</v>
      </c>
      <c r="D9" s="213" t="s">
        <v>15</v>
      </c>
      <c r="E9" s="213" t="s">
        <v>16</v>
      </c>
      <c r="F9" s="213" t="s">
        <v>17</v>
      </c>
      <c r="G9" s="213" t="s">
        <v>18</v>
      </c>
      <c r="H9" s="213" t="s">
        <v>19</v>
      </c>
      <c r="I9" s="213" t="s">
        <v>20</v>
      </c>
      <c r="J9" s="213" t="s">
        <v>21</v>
      </c>
      <c r="K9" s="213" t="s">
        <v>22</v>
      </c>
      <c r="L9" s="213" t="s">
        <v>23</v>
      </c>
      <c r="M9" s="213" t="s">
        <v>24</v>
      </c>
      <c r="N9" s="214" t="s">
        <v>25</v>
      </c>
      <c r="P9" s="212" t="s">
        <v>13</v>
      </c>
      <c r="Q9" s="213" t="s">
        <v>14</v>
      </c>
      <c r="R9" s="213" t="s">
        <v>15</v>
      </c>
      <c r="S9" s="213" t="s">
        <v>16</v>
      </c>
      <c r="T9" s="213" t="s">
        <v>17</v>
      </c>
      <c r="U9" s="213" t="s">
        <v>18</v>
      </c>
      <c r="V9" s="213" t="s">
        <v>19</v>
      </c>
      <c r="W9" s="213" t="s">
        <v>20</v>
      </c>
      <c r="X9" s="213" t="s">
        <v>21</v>
      </c>
      <c r="Y9" s="213" t="s">
        <v>22</v>
      </c>
      <c r="Z9" s="213" t="s">
        <v>23</v>
      </c>
      <c r="AA9" s="213" t="s">
        <v>24</v>
      </c>
      <c r="AB9" s="214" t="s">
        <v>25</v>
      </c>
      <c r="AC9" s="176"/>
      <c r="AD9" s="212" t="s">
        <v>13</v>
      </c>
      <c r="AE9" s="213" t="s">
        <v>14</v>
      </c>
      <c r="AF9" s="213" t="s">
        <v>15</v>
      </c>
      <c r="AG9" s="213" t="s">
        <v>16</v>
      </c>
      <c r="AH9" s="213" t="s">
        <v>17</v>
      </c>
      <c r="AI9" s="213" t="s">
        <v>18</v>
      </c>
      <c r="AJ9" s="213" t="s">
        <v>19</v>
      </c>
      <c r="AK9" s="213" t="s">
        <v>20</v>
      </c>
      <c r="AL9" s="213" t="s">
        <v>21</v>
      </c>
      <c r="AM9" s="213" t="s">
        <v>22</v>
      </c>
      <c r="AN9" s="213" t="s">
        <v>23</v>
      </c>
      <c r="AO9" s="213" t="s">
        <v>24</v>
      </c>
      <c r="AP9" s="214" t="s">
        <v>25</v>
      </c>
      <c r="AR9" s="153" t="s">
        <v>13</v>
      </c>
      <c r="AS9" s="154" t="s">
        <v>14</v>
      </c>
      <c r="AT9" s="155" t="s">
        <v>15</v>
      </c>
      <c r="AU9" s="156" t="s">
        <v>16</v>
      </c>
      <c r="AV9" s="157" t="s">
        <v>17</v>
      </c>
      <c r="AW9" s="158" t="s">
        <v>18</v>
      </c>
      <c r="AX9" s="156" t="s">
        <v>19</v>
      </c>
      <c r="AY9" s="156" t="s">
        <v>20</v>
      </c>
      <c r="AZ9" s="156" t="s">
        <v>21</v>
      </c>
      <c r="BA9" s="154" t="s">
        <v>22</v>
      </c>
      <c r="BB9" s="156" t="s">
        <v>23</v>
      </c>
      <c r="BC9" s="155" t="s">
        <v>24</v>
      </c>
      <c r="BD9" s="159" t="s">
        <v>25</v>
      </c>
      <c r="BE9" s="176"/>
      <c r="BF9" s="212" t="s">
        <v>13</v>
      </c>
      <c r="BG9" s="213" t="s">
        <v>14</v>
      </c>
      <c r="BH9" s="213" t="s">
        <v>15</v>
      </c>
      <c r="BI9" s="213" t="s">
        <v>16</v>
      </c>
      <c r="BJ9" s="213" t="s">
        <v>17</v>
      </c>
      <c r="BK9" s="213" t="s">
        <v>18</v>
      </c>
      <c r="BL9" s="213" t="s">
        <v>19</v>
      </c>
      <c r="BM9" s="213" t="s">
        <v>20</v>
      </c>
      <c r="BN9" s="213" t="s">
        <v>21</v>
      </c>
      <c r="BO9" s="213" t="s">
        <v>22</v>
      </c>
      <c r="BP9" s="213" t="s">
        <v>23</v>
      </c>
      <c r="BQ9" s="213" t="s">
        <v>24</v>
      </c>
      <c r="BR9" s="214" t="s">
        <v>25</v>
      </c>
      <c r="BT9" s="212" t="s">
        <v>13</v>
      </c>
      <c r="BU9" s="213" t="s">
        <v>14</v>
      </c>
      <c r="BV9" s="213" t="s">
        <v>15</v>
      </c>
      <c r="BW9" s="213" t="s">
        <v>16</v>
      </c>
      <c r="BX9" s="213" t="s">
        <v>17</v>
      </c>
      <c r="BY9" s="213" t="s">
        <v>18</v>
      </c>
      <c r="BZ9" s="213" t="s">
        <v>19</v>
      </c>
      <c r="CA9" s="213" t="s">
        <v>20</v>
      </c>
      <c r="CB9" s="213" t="s">
        <v>21</v>
      </c>
      <c r="CC9" s="213" t="s">
        <v>22</v>
      </c>
      <c r="CD9" s="213" t="s">
        <v>23</v>
      </c>
      <c r="CE9" s="213" t="s">
        <v>24</v>
      </c>
      <c r="CF9" s="214" t="s">
        <v>25</v>
      </c>
      <c r="CG9" s="176"/>
      <c r="CH9" s="212" t="s">
        <v>13</v>
      </c>
      <c r="CI9" s="213" t="s">
        <v>14</v>
      </c>
      <c r="CJ9" s="213" t="s">
        <v>15</v>
      </c>
      <c r="CK9" s="213" t="s">
        <v>16</v>
      </c>
      <c r="CL9" s="213" t="s">
        <v>17</v>
      </c>
      <c r="CM9" s="213" t="s">
        <v>18</v>
      </c>
      <c r="CN9" s="213" t="s">
        <v>19</v>
      </c>
      <c r="CO9" s="213" t="s">
        <v>20</v>
      </c>
      <c r="CP9" s="213" t="s">
        <v>21</v>
      </c>
      <c r="CQ9" s="213" t="s">
        <v>22</v>
      </c>
      <c r="CR9" s="213" t="s">
        <v>23</v>
      </c>
      <c r="CS9" s="213" t="s">
        <v>24</v>
      </c>
      <c r="CT9" s="214" t="s">
        <v>25</v>
      </c>
      <c r="CU9" s="175"/>
      <c r="CV9" s="215" t="s">
        <v>13</v>
      </c>
      <c r="CW9" s="216" t="s">
        <v>14</v>
      </c>
      <c r="CX9" s="216" t="s">
        <v>15</v>
      </c>
      <c r="CY9" s="216" t="s">
        <v>16</v>
      </c>
      <c r="CZ9" s="216" t="s">
        <v>17</v>
      </c>
      <c r="DA9" s="216" t="s">
        <v>18</v>
      </c>
      <c r="DB9" s="216" t="s">
        <v>19</v>
      </c>
      <c r="DC9" s="216" t="s">
        <v>20</v>
      </c>
      <c r="DD9" s="216" t="s">
        <v>21</v>
      </c>
      <c r="DE9" s="216" t="s">
        <v>22</v>
      </c>
      <c r="DF9" s="216" t="s">
        <v>23</v>
      </c>
      <c r="DG9" s="216" t="s">
        <v>24</v>
      </c>
      <c r="DH9" s="217" t="s">
        <v>25</v>
      </c>
      <c r="DJ9" s="212" t="s">
        <v>13</v>
      </c>
      <c r="DK9" s="213" t="s">
        <v>14</v>
      </c>
      <c r="DL9" s="213" t="s">
        <v>15</v>
      </c>
      <c r="DM9" s="213" t="s">
        <v>16</v>
      </c>
      <c r="DN9" s="213" t="s">
        <v>17</v>
      </c>
      <c r="DO9" s="213" t="s">
        <v>18</v>
      </c>
      <c r="DP9" s="213" t="s">
        <v>19</v>
      </c>
      <c r="DQ9" s="213" t="s">
        <v>20</v>
      </c>
      <c r="DR9" s="213" t="s">
        <v>21</v>
      </c>
      <c r="DS9" s="213" t="s">
        <v>22</v>
      </c>
      <c r="DT9" s="213" t="s">
        <v>23</v>
      </c>
      <c r="DU9" s="213" t="s">
        <v>24</v>
      </c>
      <c r="DV9" s="214" t="s">
        <v>25</v>
      </c>
    </row>
    <row r="10" spans="2:126" ht="27" customHeight="1" x14ac:dyDescent="0.35">
      <c r="B10" s="218"/>
      <c r="C10" s="219" t="s">
        <v>0</v>
      </c>
      <c r="D10" s="219" t="s">
        <v>1</v>
      </c>
      <c r="E10" s="219" t="s">
        <v>2</v>
      </c>
      <c r="F10" s="219" t="s">
        <v>3</v>
      </c>
      <c r="G10" s="219" t="s">
        <v>4</v>
      </c>
      <c r="H10" s="219" t="s">
        <v>5</v>
      </c>
      <c r="I10" s="219" t="s">
        <v>6</v>
      </c>
      <c r="J10" s="219" t="s">
        <v>7</v>
      </c>
      <c r="K10" s="219" t="s">
        <v>8</v>
      </c>
      <c r="L10" s="219" t="s">
        <v>9</v>
      </c>
      <c r="M10" s="220"/>
      <c r="N10" s="221"/>
      <c r="P10" s="218"/>
      <c r="Q10" s="219" t="s">
        <v>0</v>
      </c>
      <c r="R10" s="219" t="s">
        <v>1</v>
      </c>
      <c r="S10" s="219" t="s">
        <v>2</v>
      </c>
      <c r="T10" s="219" t="s">
        <v>3</v>
      </c>
      <c r="U10" s="219" t="s">
        <v>4</v>
      </c>
      <c r="V10" s="219" t="s">
        <v>5</v>
      </c>
      <c r="W10" s="220"/>
      <c r="X10" s="187"/>
      <c r="Y10" s="187"/>
      <c r="Z10" s="187"/>
      <c r="AA10" s="187"/>
      <c r="AB10" s="221"/>
      <c r="AC10" s="176"/>
      <c r="AD10" s="218"/>
      <c r="AE10" s="219" t="s">
        <v>0</v>
      </c>
      <c r="AF10" s="219" t="s">
        <v>1</v>
      </c>
      <c r="AG10" s="219" t="s">
        <v>2</v>
      </c>
      <c r="AH10" s="219" t="s">
        <v>3</v>
      </c>
      <c r="AI10" s="219" t="s">
        <v>4</v>
      </c>
      <c r="AJ10" s="219" t="s">
        <v>5</v>
      </c>
      <c r="AK10" s="220"/>
      <c r="AL10" s="187"/>
      <c r="AM10" s="187"/>
      <c r="AN10" s="187"/>
      <c r="AO10" s="187"/>
      <c r="AP10" s="221"/>
      <c r="AR10" s="218"/>
      <c r="AS10" s="219" t="s">
        <v>0</v>
      </c>
      <c r="AT10" s="219" t="s">
        <v>1</v>
      </c>
      <c r="AU10" s="219" t="s">
        <v>2</v>
      </c>
      <c r="AV10" s="219" t="s">
        <v>3</v>
      </c>
      <c r="AW10" s="219" t="s">
        <v>4</v>
      </c>
      <c r="AX10" s="219" t="s">
        <v>5</v>
      </c>
      <c r="AY10" s="219" t="s">
        <v>6</v>
      </c>
      <c r="AZ10" s="219" t="s">
        <v>7</v>
      </c>
      <c r="BA10" s="220"/>
      <c r="BB10" s="187"/>
      <c r="BC10" s="187"/>
      <c r="BD10" s="221"/>
      <c r="BE10" s="176"/>
      <c r="BF10" s="218"/>
      <c r="BG10" s="219" t="s">
        <v>0</v>
      </c>
      <c r="BH10" s="219" t="s">
        <v>1</v>
      </c>
      <c r="BI10" s="219" t="s">
        <v>2</v>
      </c>
      <c r="BJ10" s="219" t="s">
        <v>3</v>
      </c>
      <c r="BK10" s="219" t="s">
        <v>4</v>
      </c>
      <c r="BL10" s="219" t="s">
        <v>5</v>
      </c>
      <c r="BM10" s="219" t="s">
        <v>6</v>
      </c>
      <c r="BN10" s="219" t="s">
        <v>7</v>
      </c>
      <c r="BO10" s="220"/>
      <c r="BP10" s="187"/>
      <c r="BQ10" s="187"/>
      <c r="BR10" s="221"/>
      <c r="BT10" s="218"/>
      <c r="BU10" s="219" t="s">
        <v>0</v>
      </c>
      <c r="BV10" s="219" t="s">
        <v>1</v>
      </c>
      <c r="BW10" s="219" t="s">
        <v>2</v>
      </c>
      <c r="BX10" s="219" t="s">
        <v>3</v>
      </c>
      <c r="BY10" s="219" t="s">
        <v>4</v>
      </c>
      <c r="BZ10" s="219" t="s">
        <v>5</v>
      </c>
      <c r="CA10" s="219" t="s">
        <v>6</v>
      </c>
      <c r="CB10" s="219" t="s">
        <v>7</v>
      </c>
      <c r="CC10" s="219" t="s">
        <v>8</v>
      </c>
      <c r="CD10" s="219" t="s">
        <v>9</v>
      </c>
      <c r="CE10" s="220"/>
      <c r="CF10" s="221"/>
      <c r="CG10" s="176"/>
      <c r="CH10" s="218"/>
      <c r="CI10" s="219" t="s">
        <v>0</v>
      </c>
      <c r="CJ10" s="219" t="s">
        <v>1</v>
      </c>
      <c r="CK10" s="219" t="s">
        <v>2</v>
      </c>
      <c r="CL10" s="219" t="s">
        <v>3</v>
      </c>
      <c r="CM10" s="219" t="s">
        <v>4</v>
      </c>
      <c r="CN10" s="219" t="s">
        <v>5</v>
      </c>
      <c r="CO10" s="219" t="s">
        <v>6</v>
      </c>
      <c r="CP10" s="219" t="s">
        <v>7</v>
      </c>
      <c r="CQ10" s="219" t="s">
        <v>8</v>
      </c>
      <c r="CR10" s="219" t="s">
        <v>9</v>
      </c>
      <c r="CS10" s="220"/>
      <c r="CT10" s="221"/>
      <c r="CU10" s="175"/>
      <c r="CV10" s="218"/>
      <c r="CW10" s="219" t="s">
        <v>0</v>
      </c>
      <c r="CX10" s="219" t="s">
        <v>1</v>
      </c>
      <c r="CY10" s="219" t="s">
        <v>2</v>
      </c>
      <c r="CZ10" s="219" t="s">
        <v>3</v>
      </c>
      <c r="DA10" s="219" t="s">
        <v>4</v>
      </c>
      <c r="DB10" s="219" t="s">
        <v>5</v>
      </c>
      <c r="DC10" s="219" t="s">
        <v>6</v>
      </c>
      <c r="DD10" s="219" t="s">
        <v>7</v>
      </c>
      <c r="DE10" s="219" t="s">
        <v>8</v>
      </c>
      <c r="DF10" s="219" t="s">
        <v>9</v>
      </c>
      <c r="DG10" s="219" t="s">
        <v>8</v>
      </c>
      <c r="DH10" s="222" t="s">
        <v>9</v>
      </c>
      <c r="DJ10" s="218"/>
      <c r="DK10" s="219" t="s">
        <v>0</v>
      </c>
      <c r="DL10" s="219" t="s">
        <v>1</v>
      </c>
      <c r="DM10" s="219" t="s">
        <v>2</v>
      </c>
      <c r="DN10" s="219" t="s">
        <v>3</v>
      </c>
      <c r="DO10" s="219" t="s">
        <v>4</v>
      </c>
      <c r="DP10" s="219" t="s">
        <v>5</v>
      </c>
      <c r="DQ10" s="219" t="s">
        <v>6</v>
      </c>
      <c r="DR10" s="219" t="s">
        <v>7</v>
      </c>
      <c r="DS10" s="219" t="s">
        <v>8</v>
      </c>
      <c r="DT10" s="219" t="s">
        <v>9</v>
      </c>
      <c r="DU10" s="219" t="s">
        <v>8</v>
      </c>
      <c r="DV10" s="222" t="s">
        <v>9</v>
      </c>
    </row>
    <row r="11" spans="2:126" ht="27" customHeight="1" x14ac:dyDescent="0.35">
      <c r="B11" s="223">
        <v>1</v>
      </c>
      <c r="C11" s="160"/>
      <c r="D11" s="160"/>
      <c r="E11" s="160"/>
      <c r="F11" s="162"/>
      <c r="G11" s="162"/>
      <c r="H11" s="162"/>
      <c r="I11" s="162"/>
      <c r="J11" s="162"/>
      <c r="K11" s="162"/>
      <c r="L11" s="162"/>
      <c r="M11" s="224"/>
      <c r="N11" s="196"/>
      <c r="P11" s="223">
        <v>1</v>
      </c>
      <c r="Q11" s="162"/>
      <c r="R11" s="162"/>
      <c r="S11" s="162"/>
      <c r="T11" s="162"/>
      <c r="U11" s="162"/>
      <c r="V11" s="162"/>
      <c r="W11" s="224"/>
      <c r="X11" s="195"/>
      <c r="Y11" s="195"/>
      <c r="Z11" s="195"/>
      <c r="AA11" s="195"/>
      <c r="AB11" s="196"/>
      <c r="AC11" s="176"/>
      <c r="AD11" s="223">
        <v>1</v>
      </c>
      <c r="AE11" s="162"/>
      <c r="AF11" s="162"/>
      <c r="AG11" s="162"/>
      <c r="AH11" s="162"/>
      <c r="AI11" s="162"/>
      <c r="AJ11" s="162"/>
      <c r="AK11" s="224"/>
      <c r="AL11" s="195"/>
      <c r="AM11" s="195"/>
      <c r="AN11" s="195"/>
      <c r="AO11" s="195"/>
      <c r="AP11" s="196"/>
      <c r="AR11" s="223">
        <v>1</v>
      </c>
      <c r="AS11" s="160"/>
      <c r="AT11" s="161"/>
      <c r="AU11" s="161" t="s">
        <v>1</v>
      </c>
      <c r="AV11" s="161"/>
      <c r="AW11" s="161"/>
      <c r="AX11" s="160"/>
      <c r="AY11" s="161"/>
      <c r="AZ11" s="161"/>
      <c r="BA11" s="224"/>
      <c r="BB11" s="195"/>
      <c r="BC11" s="195"/>
      <c r="BD11" s="196"/>
      <c r="BE11" s="176"/>
      <c r="BF11" s="223">
        <v>1</v>
      </c>
      <c r="BG11" s="162"/>
      <c r="BH11" s="162"/>
      <c r="BI11" s="162"/>
      <c r="BJ11" s="162"/>
      <c r="BK11" s="162"/>
      <c r="BL11" s="162"/>
      <c r="BM11" s="162"/>
      <c r="BN11" s="162"/>
      <c r="BO11" s="224"/>
      <c r="BP11" s="195"/>
      <c r="BQ11" s="195"/>
      <c r="BR11" s="196"/>
      <c r="BT11" s="223">
        <v>1</v>
      </c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224"/>
      <c r="CF11" s="196"/>
      <c r="CG11" s="176"/>
      <c r="CH11" s="223">
        <v>1</v>
      </c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224"/>
      <c r="CT11" s="196"/>
      <c r="CU11" s="175"/>
      <c r="CV11" s="223">
        <v>1</v>
      </c>
      <c r="CW11" s="162"/>
      <c r="CX11" s="162"/>
      <c r="CY11" s="162"/>
      <c r="CZ11" s="162"/>
      <c r="DA11" s="162"/>
      <c r="DB11" s="162"/>
      <c r="DC11" s="162"/>
      <c r="DD11" s="162"/>
      <c r="DE11" s="162"/>
      <c r="DF11" s="162"/>
      <c r="DG11" s="162"/>
      <c r="DH11" s="225"/>
      <c r="DJ11" s="223">
        <v>1</v>
      </c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225"/>
    </row>
    <row r="12" spans="2:126" ht="27" customHeight="1" x14ac:dyDescent="0.35">
      <c r="B12" s="223">
        <v>2</v>
      </c>
      <c r="C12" s="160"/>
      <c r="D12" s="226"/>
      <c r="E12" s="227"/>
      <c r="F12" s="162"/>
      <c r="G12" s="162"/>
      <c r="H12" s="162"/>
      <c r="I12" s="162"/>
      <c r="J12" s="162"/>
      <c r="K12" s="162"/>
      <c r="L12" s="162"/>
      <c r="M12" s="224"/>
      <c r="N12" s="196"/>
      <c r="P12" s="223">
        <v>2</v>
      </c>
      <c r="Q12" s="162"/>
      <c r="R12" s="162"/>
      <c r="S12" s="162"/>
      <c r="T12" s="162"/>
      <c r="U12" s="162"/>
      <c r="V12" s="162"/>
      <c r="W12" s="224"/>
      <c r="X12" s="195"/>
      <c r="Y12" s="195"/>
      <c r="Z12" s="195"/>
      <c r="AA12" s="195"/>
      <c r="AB12" s="196"/>
      <c r="AC12" s="176"/>
      <c r="AD12" s="223">
        <v>2</v>
      </c>
      <c r="AE12" s="162"/>
      <c r="AF12" s="162"/>
      <c r="AG12" s="162"/>
      <c r="AH12" s="162"/>
      <c r="AI12" s="162"/>
      <c r="AJ12" s="162"/>
      <c r="AK12" s="224"/>
      <c r="AL12" s="195"/>
      <c r="AM12" s="195"/>
      <c r="AN12" s="195"/>
      <c r="AO12" s="195"/>
      <c r="AP12" s="196"/>
      <c r="AR12" s="223">
        <v>2</v>
      </c>
      <c r="AS12" s="161"/>
      <c r="AT12" s="161"/>
      <c r="AU12" s="161" t="s">
        <v>4</v>
      </c>
      <c r="AV12" s="161"/>
      <c r="AW12" s="161"/>
      <c r="AX12" s="161"/>
      <c r="AY12" s="161"/>
      <c r="AZ12" s="161"/>
      <c r="BA12" s="224"/>
      <c r="BB12" s="195"/>
      <c r="BC12" s="195"/>
      <c r="BD12" s="196"/>
      <c r="BE12" s="176"/>
      <c r="BF12" s="223">
        <v>2</v>
      </c>
      <c r="BG12" s="162"/>
      <c r="BH12" s="162"/>
      <c r="BI12" s="162"/>
      <c r="BJ12" s="162"/>
      <c r="BK12" s="162"/>
      <c r="BL12" s="162"/>
      <c r="BM12" s="162"/>
      <c r="BN12" s="162"/>
      <c r="BO12" s="224"/>
      <c r="BP12" s="195"/>
      <c r="BQ12" s="195"/>
      <c r="BR12" s="196"/>
      <c r="BT12" s="223">
        <v>2</v>
      </c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224"/>
      <c r="CF12" s="196"/>
      <c r="CG12" s="176"/>
      <c r="CH12" s="223">
        <v>2</v>
      </c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224"/>
      <c r="CT12" s="196"/>
      <c r="CU12" s="175"/>
      <c r="CV12" s="223">
        <v>2</v>
      </c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225"/>
      <c r="DJ12" s="223">
        <v>2</v>
      </c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225"/>
    </row>
    <row r="13" spans="2:126" ht="27" customHeight="1" x14ac:dyDescent="0.35">
      <c r="B13" s="223">
        <v>3</v>
      </c>
      <c r="C13" s="160"/>
      <c r="D13" s="227"/>
      <c r="E13" s="227"/>
      <c r="F13" s="162"/>
      <c r="G13" s="162"/>
      <c r="H13" s="162"/>
      <c r="I13" s="162"/>
      <c r="J13" s="162"/>
      <c r="K13" s="162"/>
      <c r="L13" s="162"/>
      <c r="M13" s="224"/>
      <c r="N13" s="196"/>
      <c r="P13" s="223">
        <v>3</v>
      </c>
      <c r="Q13" s="162"/>
      <c r="R13" s="162"/>
      <c r="S13" s="162"/>
      <c r="T13" s="162"/>
      <c r="U13" s="162"/>
      <c r="V13" s="162"/>
      <c r="W13" s="224"/>
      <c r="X13" s="195"/>
      <c r="Y13" s="195"/>
      <c r="Z13" s="195"/>
      <c r="AA13" s="195"/>
      <c r="AB13" s="196"/>
      <c r="AC13" s="176"/>
      <c r="AD13" s="223">
        <v>3</v>
      </c>
      <c r="AE13" s="162"/>
      <c r="AF13" s="162"/>
      <c r="AG13" s="162"/>
      <c r="AH13" s="162"/>
      <c r="AI13" s="162"/>
      <c r="AJ13" s="162"/>
      <c r="AK13" s="224"/>
      <c r="AL13" s="195"/>
      <c r="AM13" s="195"/>
      <c r="AN13" s="195"/>
      <c r="AO13" s="195"/>
      <c r="AP13" s="196"/>
      <c r="AR13" s="223">
        <v>3</v>
      </c>
      <c r="AS13" s="162"/>
      <c r="AT13" s="163" t="s">
        <v>17</v>
      </c>
      <c r="AU13" s="163" t="s">
        <v>0</v>
      </c>
      <c r="AV13" s="163" t="s">
        <v>22</v>
      </c>
      <c r="AW13" s="162"/>
      <c r="AX13" s="162"/>
      <c r="AY13" s="162"/>
      <c r="AZ13" s="161"/>
      <c r="BA13" s="224"/>
      <c r="BB13" s="195"/>
      <c r="BC13" s="195"/>
      <c r="BD13" s="196"/>
      <c r="BE13" s="176"/>
      <c r="BF13" s="223">
        <v>3</v>
      </c>
      <c r="BG13" s="162"/>
      <c r="BH13" s="162"/>
      <c r="BI13" s="162"/>
      <c r="BJ13" s="162"/>
      <c r="BK13" s="162"/>
      <c r="BL13" s="162"/>
      <c r="BM13" s="162"/>
      <c r="BN13" s="162"/>
      <c r="BO13" s="224"/>
      <c r="BP13" s="195"/>
      <c r="BQ13" s="195"/>
      <c r="BR13" s="196"/>
      <c r="BT13" s="223">
        <v>3</v>
      </c>
      <c r="BU13" s="162"/>
      <c r="BV13" s="162"/>
      <c r="BW13" s="162"/>
      <c r="BX13" s="162"/>
      <c r="BY13" s="162"/>
      <c r="BZ13" s="162"/>
      <c r="CA13" s="162"/>
      <c r="CB13" s="162"/>
      <c r="CC13" s="162"/>
      <c r="CD13" s="162"/>
      <c r="CE13" s="224"/>
      <c r="CF13" s="196"/>
      <c r="CG13" s="176"/>
      <c r="CH13" s="223">
        <v>3</v>
      </c>
      <c r="CI13" s="162"/>
      <c r="CJ13" s="162"/>
      <c r="CK13" s="162"/>
      <c r="CL13" s="162"/>
      <c r="CM13" s="162"/>
      <c r="CN13" s="162"/>
      <c r="CO13" s="162"/>
      <c r="CP13" s="162"/>
      <c r="CQ13" s="162"/>
      <c r="CR13" s="162"/>
      <c r="CS13" s="224"/>
      <c r="CT13" s="196"/>
      <c r="CU13" s="175"/>
      <c r="CV13" s="223">
        <v>3</v>
      </c>
      <c r="CW13" s="162"/>
      <c r="CX13" s="162"/>
      <c r="CY13" s="162"/>
      <c r="CZ13" s="162"/>
      <c r="DA13" s="162"/>
      <c r="DB13" s="162"/>
      <c r="DC13" s="162"/>
      <c r="DD13" s="162"/>
      <c r="DE13" s="162"/>
      <c r="DF13" s="162"/>
      <c r="DG13" s="162"/>
      <c r="DH13" s="225"/>
      <c r="DJ13" s="223">
        <v>3</v>
      </c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225"/>
    </row>
    <row r="14" spans="2:126" ht="27" customHeight="1" x14ac:dyDescent="0.35">
      <c r="B14" s="223">
        <v>4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224"/>
      <c r="N14" s="196"/>
      <c r="P14" s="223">
        <v>4</v>
      </c>
      <c r="Q14" s="162"/>
      <c r="R14" s="162"/>
      <c r="S14" s="162"/>
      <c r="T14" s="162"/>
      <c r="U14" s="162"/>
      <c r="V14" s="162"/>
      <c r="W14" s="224"/>
      <c r="X14" s="195"/>
      <c r="Y14" s="195"/>
      <c r="Z14" s="195"/>
      <c r="AA14" s="195"/>
      <c r="AB14" s="196"/>
      <c r="AC14" s="176"/>
      <c r="AD14" s="223">
        <v>4</v>
      </c>
      <c r="AE14" s="162"/>
      <c r="AF14" s="162"/>
      <c r="AG14" s="162"/>
      <c r="AH14" s="162"/>
      <c r="AI14" s="162"/>
      <c r="AJ14" s="162"/>
      <c r="AK14" s="224"/>
      <c r="AL14" s="195"/>
      <c r="AM14" s="195"/>
      <c r="AN14" s="195"/>
      <c r="AO14" s="195"/>
      <c r="AP14" s="196"/>
      <c r="AR14" s="223">
        <v>4</v>
      </c>
      <c r="AS14" s="160"/>
      <c r="AT14" s="162"/>
      <c r="AU14" s="161" t="s">
        <v>18</v>
      </c>
      <c r="AV14" s="162"/>
      <c r="AW14" s="162"/>
      <c r="AX14" s="162"/>
      <c r="AY14" s="162"/>
      <c r="AZ14" s="161"/>
      <c r="BA14" s="224"/>
      <c r="BB14" s="195"/>
      <c r="BC14" s="195"/>
      <c r="BD14" s="196"/>
      <c r="BE14" s="176"/>
      <c r="BF14" s="223">
        <v>4</v>
      </c>
      <c r="BG14" s="162"/>
      <c r="BH14" s="162"/>
      <c r="BI14" s="162"/>
      <c r="BJ14" s="162"/>
      <c r="BK14" s="162"/>
      <c r="BL14" s="162"/>
      <c r="BM14" s="162"/>
      <c r="BN14" s="162"/>
      <c r="BO14" s="224"/>
      <c r="BP14" s="195"/>
      <c r="BQ14" s="195"/>
      <c r="BR14" s="196"/>
      <c r="BT14" s="223">
        <v>4</v>
      </c>
      <c r="BU14" s="162"/>
      <c r="BV14" s="162"/>
      <c r="BW14" s="162"/>
      <c r="BX14" s="162"/>
      <c r="BY14" s="162"/>
      <c r="BZ14" s="162"/>
      <c r="CA14" s="162"/>
      <c r="CB14" s="162"/>
      <c r="CC14" s="162"/>
      <c r="CD14" s="162"/>
      <c r="CE14" s="224"/>
      <c r="CF14" s="196"/>
      <c r="CG14" s="176"/>
      <c r="CH14" s="223">
        <v>4</v>
      </c>
      <c r="CI14" s="162"/>
      <c r="CJ14" s="162"/>
      <c r="CK14" s="162"/>
      <c r="CL14" s="162"/>
      <c r="CM14" s="162"/>
      <c r="CN14" s="162"/>
      <c r="CO14" s="162"/>
      <c r="CP14" s="162"/>
      <c r="CQ14" s="162"/>
      <c r="CR14" s="162"/>
      <c r="CS14" s="224"/>
      <c r="CT14" s="196"/>
      <c r="CU14" s="175"/>
      <c r="CV14" s="223">
        <v>4</v>
      </c>
      <c r="CW14" s="162"/>
      <c r="CX14" s="162"/>
      <c r="CY14" s="162"/>
      <c r="CZ14" s="162"/>
      <c r="DA14" s="162"/>
      <c r="DB14" s="162"/>
      <c r="DC14" s="162"/>
      <c r="DD14" s="162"/>
      <c r="DE14" s="162"/>
      <c r="DF14" s="162"/>
      <c r="DG14" s="162"/>
      <c r="DH14" s="225"/>
      <c r="DJ14" s="223">
        <v>4</v>
      </c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225"/>
    </row>
    <row r="15" spans="2:126" ht="27" customHeight="1" x14ac:dyDescent="0.35">
      <c r="B15" s="223">
        <v>5</v>
      </c>
      <c r="C15" s="162"/>
      <c r="D15" s="228"/>
      <c r="E15" s="162"/>
      <c r="F15" s="162"/>
      <c r="G15" s="162"/>
      <c r="H15" s="162"/>
      <c r="I15" s="162"/>
      <c r="J15" s="162"/>
      <c r="K15" s="162"/>
      <c r="L15" s="162"/>
      <c r="M15" s="224"/>
      <c r="N15" s="196"/>
      <c r="P15" s="223">
        <v>5</v>
      </c>
      <c r="Q15" s="162"/>
      <c r="R15" s="162"/>
      <c r="S15" s="162"/>
      <c r="T15" s="162"/>
      <c r="U15" s="162"/>
      <c r="V15" s="162"/>
      <c r="W15" s="224"/>
      <c r="X15" s="195"/>
      <c r="Y15" s="195"/>
      <c r="Z15" s="195"/>
      <c r="AA15" s="195"/>
      <c r="AB15" s="196"/>
      <c r="AC15" s="176"/>
      <c r="AD15" s="223">
        <v>5</v>
      </c>
      <c r="AE15" s="162"/>
      <c r="AF15" s="162"/>
      <c r="AG15" s="162"/>
      <c r="AH15" s="162"/>
      <c r="AI15" s="162"/>
      <c r="AJ15" s="162"/>
      <c r="AK15" s="224"/>
      <c r="AL15" s="195"/>
      <c r="AM15" s="195"/>
      <c r="AN15" s="195"/>
      <c r="AO15" s="195"/>
      <c r="AP15" s="196"/>
      <c r="AR15" s="223">
        <v>5</v>
      </c>
      <c r="AS15" s="162"/>
      <c r="AT15" s="162"/>
      <c r="AU15" s="161" t="s">
        <v>19</v>
      </c>
      <c r="AV15" s="162"/>
      <c r="AW15" s="160"/>
      <c r="AX15" s="162"/>
      <c r="AY15" s="162"/>
      <c r="AZ15" s="161" t="s">
        <v>7</v>
      </c>
      <c r="BA15" s="224"/>
      <c r="BB15" s="195"/>
      <c r="BC15" s="195"/>
      <c r="BD15" s="196"/>
      <c r="BE15" s="176"/>
      <c r="BF15" s="223">
        <v>5</v>
      </c>
      <c r="BG15" s="162"/>
      <c r="BH15" s="162"/>
      <c r="BI15" s="162"/>
      <c r="BJ15" s="162"/>
      <c r="BK15" s="162"/>
      <c r="BL15" s="162"/>
      <c r="BM15" s="162"/>
      <c r="BN15" s="162"/>
      <c r="BO15" s="224"/>
      <c r="BP15" s="195"/>
      <c r="BQ15" s="195"/>
      <c r="BR15" s="196"/>
      <c r="BT15" s="223">
        <v>5</v>
      </c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224"/>
      <c r="CF15" s="196"/>
      <c r="CG15" s="176"/>
      <c r="CH15" s="223">
        <v>5</v>
      </c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224"/>
      <c r="CT15" s="196"/>
      <c r="CU15" s="175"/>
      <c r="CV15" s="223">
        <v>5</v>
      </c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225"/>
      <c r="DJ15" s="223">
        <v>5</v>
      </c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225"/>
    </row>
    <row r="16" spans="2:126" ht="27" customHeight="1" x14ac:dyDescent="0.35">
      <c r="B16" s="223">
        <v>6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224"/>
      <c r="N16" s="196"/>
      <c r="P16" s="223">
        <v>6</v>
      </c>
      <c r="Q16" s="162"/>
      <c r="R16" s="162"/>
      <c r="S16" s="162"/>
      <c r="T16" s="162"/>
      <c r="U16" s="162"/>
      <c r="V16" s="162"/>
      <c r="W16" s="224"/>
      <c r="X16" s="195"/>
      <c r="Y16" s="195"/>
      <c r="Z16" s="195"/>
      <c r="AA16" s="195"/>
      <c r="AB16" s="196"/>
      <c r="AC16" s="176"/>
      <c r="AD16" s="223">
        <v>6</v>
      </c>
      <c r="AE16" s="162"/>
      <c r="AF16" s="162"/>
      <c r="AG16" s="162"/>
      <c r="AH16" s="162"/>
      <c r="AI16" s="162"/>
      <c r="AJ16" s="162"/>
      <c r="AK16" s="224"/>
      <c r="AL16" s="195"/>
      <c r="AM16" s="195"/>
      <c r="AN16" s="195"/>
      <c r="AO16" s="195"/>
      <c r="AP16" s="196"/>
      <c r="AR16" s="223">
        <v>6</v>
      </c>
      <c r="AS16" s="162"/>
      <c r="AT16" s="162"/>
      <c r="AU16" s="162"/>
      <c r="AV16" s="162"/>
      <c r="AW16" s="162"/>
      <c r="AX16" s="162"/>
      <c r="AY16" s="162" t="s">
        <v>14</v>
      </c>
      <c r="AZ16" s="161"/>
      <c r="BA16" s="224"/>
      <c r="BB16" s="195"/>
      <c r="BC16" s="195"/>
      <c r="BD16" s="196"/>
      <c r="BE16" s="176"/>
      <c r="BF16" s="223">
        <v>6</v>
      </c>
      <c r="BG16" s="162"/>
      <c r="BH16" s="162"/>
      <c r="BI16" s="162"/>
      <c r="BJ16" s="162"/>
      <c r="BK16" s="162"/>
      <c r="BL16" s="162"/>
      <c r="BM16" s="162"/>
      <c r="BN16" s="162"/>
      <c r="BO16" s="224"/>
      <c r="BP16" s="195"/>
      <c r="BQ16" s="195"/>
      <c r="BR16" s="196"/>
      <c r="BT16" s="223">
        <v>6</v>
      </c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224"/>
      <c r="CF16" s="196"/>
      <c r="CG16" s="176"/>
      <c r="CH16" s="223">
        <v>6</v>
      </c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224"/>
      <c r="CT16" s="196"/>
      <c r="CU16" s="175"/>
      <c r="CV16" s="223">
        <v>6</v>
      </c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225"/>
      <c r="DJ16" s="223">
        <v>6</v>
      </c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225"/>
    </row>
    <row r="17" spans="2:126" ht="27" customHeight="1" x14ac:dyDescent="0.35">
      <c r="B17" s="223">
        <v>7</v>
      </c>
      <c r="C17" s="162"/>
      <c r="D17" s="228"/>
      <c r="E17" s="162"/>
      <c r="F17" s="162"/>
      <c r="G17" s="162"/>
      <c r="H17" s="162"/>
      <c r="I17" s="162"/>
      <c r="J17" s="162"/>
      <c r="K17" s="162"/>
      <c r="L17" s="162"/>
      <c r="M17" s="224"/>
      <c r="N17" s="196"/>
      <c r="P17" s="229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6"/>
      <c r="AC17" s="176"/>
      <c r="AD17" s="229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6"/>
      <c r="AR17" s="223">
        <v>7</v>
      </c>
      <c r="AS17" s="162"/>
      <c r="AT17" s="162"/>
      <c r="AU17" s="162"/>
      <c r="AV17" s="162"/>
      <c r="AW17" s="162"/>
      <c r="AX17" s="162" t="s">
        <v>11</v>
      </c>
      <c r="AY17" s="162"/>
      <c r="AZ17" s="161"/>
      <c r="BA17" s="224"/>
      <c r="BB17" s="195"/>
      <c r="BC17" s="195"/>
      <c r="BD17" s="196"/>
      <c r="BE17" s="176"/>
      <c r="BF17" s="223">
        <v>7</v>
      </c>
      <c r="BG17" s="162"/>
      <c r="BH17" s="162"/>
      <c r="BI17" s="162"/>
      <c r="BJ17" s="162"/>
      <c r="BK17" s="162"/>
      <c r="BL17" s="162"/>
      <c r="BM17" s="162"/>
      <c r="BN17" s="162"/>
      <c r="BO17" s="224"/>
      <c r="BP17" s="195"/>
      <c r="BQ17" s="195"/>
      <c r="BR17" s="196"/>
      <c r="BT17" s="223">
        <v>7</v>
      </c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224"/>
      <c r="CF17" s="196"/>
      <c r="CG17" s="176"/>
      <c r="CH17" s="223">
        <v>7</v>
      </c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224"/>
      <c r="CT17" s="196"/>
      <c r="CU17" s="175"/>
      <c r="CV17" s="223">
        <v>7</v>
      </c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225"/>
      <c r="DJ17" s="223">
        <v>7</v>
      </c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225"/>
    </row>
    <row r="18" spans="2:126" ht="27" customHeight="1" x14ac:dyDescent="0.35">
      <c r="B18" s="223">
        <v>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224"/>
      <c r="N18" s="196"/>
      <c r="P18" s="229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6"/>
      <c r="AC18" s="176"/>
      <c r="AD18" s="229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6"/>
      <c r="AR18" s="223">
        <v>8</v>
      </c>
      <c r="AS18" s="161"/>
      <c r="AT18" s="161"/>
      <c r="AU18" s="161"/>
      <c r="AV18" s="161"/>
      <c r="AW18" s="161" t="s">
        <v>3</v>
      </c>
      <c r="AX18" s="161"/>
      <c r="AY18" s="161"/>
      <c r="AZ18" s="161"/>
      <c r="BA18" s="224"/>
      <c r="BB18" s="195"/>
      <c r="BC18" s="195"/>
      <c r="BD18" s="196"/>
      <c r="BE18" s="176"/>
      <c r="BF18" s="223">
        <v>8</v>
      </c>
      <c r="BG18" s="162"/>
      <c r="BH18" s="162"/>
      <c r="BI18" s="162"/>
      <c r="BJ18" s="162"/>
      <c r="BK18" s="162"/>
      <c r="BL18" s="162"/>
      <c r="BM18" s="162"/>
      <c r="BN18" s="162"/>
      <c r="BO18" s="224"/>
      <c r="BP18" s="195"/>
      <c r="BQ18" s="195"/>
      <c r="BR18" s="196"/>
      <c r="BT18" s="223">
        <v>8</v>
      </c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224"/>
      <c r="CF18" s="196"/>
      <c r="CG18" s="176"/>
      <c r="CH18" s="223">
        <v>8</v>
      </c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224"/>
      <c r="CT18" s="196"/>
      <c r="CU18" s="175"/>
      <c r="CV18" s="223">
        <v>8</v>
      </c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  <c r="DH18" s="225"/>
      <c r="DJ18" s="223">
        <v>8</v>
      </c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225"/>
    </row>
    <row r="19" spans="2:126" ht="27" customHeight="1" x14ac:dyDescent="0.35">
      <c r="B19" s="223">
        <v>9</v>
      </c>
      <c r="C19" s="162"/>
      <c r="D19" s="228"/>
      <c r="E19" s="162"/>
      <c r="F19" s="162"/>
      <c r="G19" s="162"/>
      <c r="H19" s="162"/>
      <c r="I19" s="162"/>
      <c r="J19" s="162"/>
      <c r="K19" s="162"/>
      <c r="L19" s="162"/>
      <c r="M19" s="224"/>
      <c r="N19" s="196"/>
      <c r="P19" s="229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6"/>
      <c r="AC19" s="176"/>
      <c r="AD19" s="229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6"/>
      <c r="AR19" s="229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6"/>
      <c r="BE19" s="176"/>
      <c r="BF19" s="229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6"/>
      <c r="BT19" s="223">
        <v>9</v>
      </c>
      <c r="BU19" s="162"/>
      <c r="BV19" s="162"/>
      <c r="BW19" s="162"/>
      <c r="BX19" s="162"/>
      <c r="BY19" s="162"/>
      <c r="BZ19" s="162"/>
      <c r="CA19" s="162"/>
      <c r="CB19" s="162"/>
      <c r="CC19" s="162"/>
      <c r="CD19" s="162"/>
      <c r="CE19" s="224"/>
      <c r="CF19" s="196"/>
      <c r="CG19" s="176"/>
      <c r="CH19" s="223">
        <v>9</v>
      </c>
      <c r="CI19" s="162"/>
      <c r="CJ19" s="162"/>
      <c r="CK19" s="162"/>
      <c r="CL19" s="162"/>
      <c r="CM19" s="162"/>
      <c r="CN19" s="162"/>
      <c r="CO19" s="162"/>
      <c r="CP19" s="162"/>
      <c r="CQ19" s="162"/>
      <c r="CR19" s="162"/>
      <c r="CS19" s="224"/>
      <c r="CT19" s="196"/>
      <c r="CU19" s="175"/>
      <c r="CV19" s="223">
        <v>9</v>
      </c>
      <c r="CW19" s="162"/>
      <c r="CX19" s="162"/>
      <c r="CY19" s="162"/>
      <c r="CZ19" s="162"/>
      <c r="DA19" s="162"/>
      <c r="DB19" s="162"/>
      <c r="DC19" s="162"/>
      <c r="DD19" s="162"/>
      <c r="DE19" s="162"/>
      <c r="DF19" s="162"/>
      <c r="DG19" s="162"/>
      <c r="DH19" s="225"/>
      <c r="DJ19" s="223">
        <v>9</v>
      </c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225"/>
    </row>
    <row r="20" spans="2:126" ht="27" customHeight="1" thickBot="1" x14ac:dyDescent="0.4">
      <c r="B20" s="230">
        <v>10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24"/>
      <c r="N20" s="204"/>
      <c r="P20" s="231">
        <v>11</v>
      </c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4"/>
      <c r="AC20" s="176"/>
      <c r="AD20" s="231">
        <v>11</v>
      </c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4"/>
      <c r="AR20" s="231">
        <v>11</v>
      </c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4"/>
      <c r="BE20" s="176"/>
      <c r="BF20" s="231">
        <v>11</v>
      </c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4"/>
      <c r="BT20" s="230">
        <v>10</v>
      </c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  <c r="CE20" s="224"/>
      <c r="CF20" s="204"/>
      <c r="CG20" s="176"/>
      <c r="CH20" s="230">
        <v>10</v>
      </c>
      <c r="CI20" s="213"/>
      <c r="CJ20" s="213"/>
      <c r="CK20" s="213"/>
      <c r="CL20" s="213"/>
      <c r="CM20" s="213"/>
      <c r="CN20" s="213"/>
      <c r="CO20" s="213"/>
      <c r="CP20" s="213"/>
      <c r="CQ20" s="213"/>
      <c r="CR20" s="213"/>
      <c r="CS20" s="224"/>
      <c r="CT20" s="204"/>
      <c r="CU20" s="175"/>
      <c r="CV20" s="223">
        <v>10</v>
      </c>
      <c r="CW20" s="162"/>
      <c r="CX20" s="162"/>
      <c r="CY20" s="162"/>
      <c r="CZ20" s="162"/>
      <c r="DA20" s="162"/>
      <c r="DB20" s="162"/>
      <c r="DC20" s="162"/>
      <c r="DD20" s="162"/>
      <c r="DE20" s="162"/>
      <c r="DF20" s="162"/>
      <c r="DG20" s="162"/>
      <c r="DH20" s="225"/>
      <c r="DJ20" s="223">
        <v>10</v>
      </c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225"/>
    </row>
    <row r="21" spans="2:126" ht="27" customHeight="1" thickBot="1" x14ac:dyDescent="0.4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P21" s="232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4"/>
      <c r="AC21" s="176"/>
      <c r="AD21" s="232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4"/>
      <c r="AR21" s="23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236"/>
      <c r="BE21" s="176"/>
      <c r="BF21" s="23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236"/>
      <c r="BT21" s="23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236"/>
      <c r="CG21" s="176"/>
      <c r="CH21" s="23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236"/>
      <c r="CU21" s="175"/>
      <c r="CV21" s="223">
        <v>11</v>
      </c>
      <c r="CW21" s="162"/>
      <c r="CX21" s="162"/>
      <c r="CY21" s="162"/>
      <c r="CZ21" s="162"/>
      <c r="DA21" s="162"/>
      <c r="DB21" s="162"/>
      <c r="DC21" s="162"/>
      <c r="DD21" s="162"/>
      <c r="DE21" s="162"/>
      <c r="DF21" s="162"/>
      <c r="DG21" s="162"/>
      <c r="DH21" s="225"/>
      <c r="DJ21" s="223">
        <v>11</v>
      </c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225"/>
    </row>
    <row r="22" spans="2:126" ht="27" customHeight="1" thickBot="1" x14ac:dyDescent="0.4">
      <c r="B22" s="23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236"/>
      <c r="P22" s="23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236"/>
      <c r="AC22" s="176"/>
      <c r="AD22" s="23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236"/>
      <c r="AR22" s="23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236"/>
      <c r="BE22" s="176"/>
      <c r="BF22" s="23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236"/>
      <c r="BT22" s="23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236"/>
      <c r="CG22" s="176"/>
      <c r="CH22" s="23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236"/>
      <c r="CU22" s="175"/>
      <c r="CV22" s="230">
        <v>12</v>
      </c>
      <c r="CW22" s="213"/>
      <c r="CX22" s="213"/>
      <c r="CY22" s="213"/>
      <c r="CZ22" s="213"/>
      <c r="DA22" s="213"/>
      <c r="DB22" s="213"/>
      <c r="DC22" s="213"/>
      <c r="DD22" s="213"/>
      <c r="DE22" s="213"/>
      <c r="DF22" s="213"/>
      <c r="DG22" s="213"/>
      <c r="DH22" s="214"/>
      <c r="DJ22" s="230">
        <v>12</v>
      </c>
      <c r="DK22" s="213"/>
      <c r="DL22" s="213"/>
      <c r="DM22" s="213"/>
      <c r="DN22" s="213"/>
      <c r="DO22" s="213"/>
      <c r="DP22" s="213"/>
      <c r="DQ22" s="213"/>
      <c r="DR22" s="213"/>
      <c r="DS22" s="213"/>
      <c r="DT22" s="213"/>
      <c r="DU22" s="213"/>
      <c r="DV22" s="214"/>
    </row>
    <row r="23" spans="2:126" ht="27" customHeight="1" thickBot="1" x14ac:dyDescent="0.4">
      <c r="B23" s="237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9"/>
      <c r="P23" s="240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241"/>
      <c r="AR23" s="240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241"/>
      <c r="BT23" s="240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  <c r="CH23" s="176"/>
      <c r="CI23" s="176"/>
      <c r="CT23" s="241"/>
      <c r="CU23" s="175"/>
      <c r="CV23" s="240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241"/>
    </row>
    <row r="24" spans="2:126" ht="27" customHeight="1" thickBot="1" x14ac:dyDescent="0.4">
      <c r="B24" s="304" t="s">
        <v>84</v>
      </c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6"/>
      <c r="P24" s="324" t="s">
        <v>38</v>
      </c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  <c r="AB24" s="326"/>
      <c r="AC24" s="176"/>
      <c r="AD24" s="324" t="s">
        <v>38</v>
      </c>
      <c r="AE24" s="325"/>
      <c r="AF24" s="325"/>
      <c r="AG24" s="325"/>
      <c r="AH24" s="325"/>
      <c r="AI24" s="325"/>
      <c r="AJ24" s="325"/>
      <c r="AK24" s="325"/>
      <c r="AL24" s="325"/>
      <c r="AM24" s="325"/>
      <c r="AN24" s="325"/>
      <c r="AO24" s="325"/>
      <c r="AP24" s="326"/>
      <c r="AR24" s="327" t="s">
        <v>82</v>
      </c>
      <c r="AS24" s="328"/>
      <c r="AT24" s="328"/>
      <c r="AU24" s="328"/>
      <c r="AV24" s="328"/>
      <c r="AW24" s="328"/>
      <c r="AX24" s="328"/>
      <c r="AY24" s="328"/>
      <c r="AZ24" s="314"/>
      <c r="BA24" s="314"/>
      <c r="BB24" s="314"/>
      <c r="BC24" s="314"/>
      <c r="BD24" s="315"/>
      <c r="BE24" s="176"/>
      <c r="BF24" s="324" t="s">
        <v>38</v>
      </c>
      <c r="BG24" s="325"/>
      <c r="BH24" s="325"/>
      <c r="BI24" s="325"/>
      <c r="BJ24" s="325"/>
      <c r="BK24" s="325"/>
      <c r="BL24" s="325"/>
      <c r="BM24" s="325"/>
      <c r="BN24" s="325"/>
      <c r="BO24" s="325"/>
      <c r="BP24" s="325"/>
      <c r="BQ24" s="325"/>
      <c r="BR24" s="326"/>
      <c r="BT24" s="324" t="s">
        <v>38</v>
      </c>
      <c r="BU24" s="325"/>
      <c r="BV24" s="325"/>
      <c r="BW24" s="325"/>
      <c r="BX24" s="325"/>
      <c r="BY24" s="325"/>
      <c r="BZ24" s="325"/>
      <c r="CA24" s="325"/>
      <c r="CB24" s="325"/>
      <c r="CC24" s="325"/>
      <c r="CD24" s="325"/>
      <c r="CE24" s="325"/>
      <c r="CF24" s="326"/>
      <c r="CG24" s="176"/>
      <c r="CH24" s="324" t="s">
        <v>38</v>
      </c>
      <c r="CI24" s="325"/>
      <c r="CJ24" s="325"/>
      <c r="CK24" s="325"/>
      <c r="CL24" s="325"/>
      <c r="CM24" s="325"/>
      <c r="CN24" s="325"/>
      <c r="CO24" s="325"/>
      <c r="CP24" s="325"/>
      <c r="CQ24" s="325"/>
      <c r="CR24" s="325"/>
      <c r="CS24" s="325"/>
      <c r="CT24" s="326"/>
      <c r="CU24" s="175"/>
      <c r="CV24" s="324" t="s">
        <v>38</v>
      </c>
      <c r="CW24" s="325"/>
      <c r="CX24" s="325"/>
      <c r="CY24" s="325"/>
      <c r="CZ24" s="325"/>
      <c r="DA24" s="325"/>
      <c r="DB24" s="325"/>
      <c r="DC24" s="325"/>
      <c r="DD24" s="325"/>
      <c r="DE24" s="325"/>
      <c r="DF24" s="325"/>
      <c r="DG24" s="325"/>
      <c r="DH24" s="326"/>
      <c r="DJ24" s="324" t="s">
        <v>38</v>
      </c>
      <c r="DK24" s="325"/>
      <c r="DL24" s="325"/>
      <c r="DM24" s="325"/>
      <c r="DN24" s="325"/>
      <c r="DO24" s="325"/>
      <c r="DP24" s="325"/>
      <c r="DQ24" s="325"/>
      <c r="DR24" s="325"/>
      <c r="DS24" s="325"/>
      <c r="DT24" s="325"/>
      <c r="DU24" s="325"/>
      <c r="DV24" s="326"/>
    </row>
    <row r="25" spans="2:126" ht="27" customHeight="1" thickBot="1" x14ac:dyDescent="0.4">
      <c r="B25" s="177">
        <v>1</v>
      </c>
      <c r="C25" s="178" t="s">
        <v>11</v>
      </c>
      <c r="D25" s="178" t="s">
        <v>0</v>
      </c>
      <c r="E25" s="178" t="s">
        <v>22</v>
      </c>
      <c r="F25" s="179"/>
      <c r="G25" s="180"/>
      <c r="H25" s="180"/>
      <c r="I25" s="180"/>
      <c r="J25" s="180"/>
      <c r="K25" s="181"/>
      <c r="L25" s="182"/>
      <c r="M25" s="183"/>
      <c r="N25" s="184"/>
      <c r="P25" s="185">
        <v>1</v>
      </c>
      <c r="Q25" s="186" t="s">
        <v>27</v>
      </c>
      <c r="R25" s="186" t="s">
        <v>27</v>
      </c>
      <c r="S25" s="186" t="s">
        <v>27</v>
      </c>
      <c r="T25" s="143"/>
      <c r="U25" s="143"/>
      <c r="V25" s="187"/>
      <c r="W25" s="188"/>
      <c r="X25" s="329" t="s">
        <v>37</v>
      </c>
      <c r="Y25" s="319"/>
      <c r="Z25" s="319"/>
      <c r="AA25" s="319"/>
      <c r="AB25" s="320"/>
      <c r="AC25" s="176"/>
      <c r="AD25" s="185">
        <v>1</v>
      </c>
      <c r="AE25" s="186" t="s">
        <v>27</v>
      </c>
      <c r="AF25" s="186" t="s">
        <v>27</v>
      </c>
      <c r="AG25" s="186" t="s">
        <v>27</v>
      </c>
      <c r="AH25" s="143"/>
      <c r="AI25" s="143"/>
      <c r="AJ25" s="187"/>
      <c r="AK25" s="188"/>
      <c r="AL25" s="329" t="s">
        <v>37</v>
      </c>
      <c r="AM25" s="319"/>
      <c r="AN25" s="319"/>
      <c r="AO25" s="319"/>
      <c r="AP25" s="320"/>
      <c r="AR25" s="185">
        <v>1</v>
      </c>
      <c r="AS25" s="164" t="s">
        <v>7</v>
      </c>
      <c r="AT25" s="164" t="s">
        <v>14</v>
      </c>
      <c r="AU25" s="164" t="s">
        <v>6</v>
      </c>
      <c r="AV25" s="143"/>
      <c r="AW25" s="143"/>
      <c r="AX25" s="187"/>
      <c r="AY25" s="188"/>
      <c r="AZ25" s="307" t="s">
        <v>81</v>
      </c>
      <c r="BA25" s="308"/>
      <c r="BB25" s="308"/>
      <c r="BC25" s="308"/>
      <c r="BD25" s="309"/>
      <c r="BE25" s="176"/>
      <c r="BF25" s="185">
        <v>1</v>
      </c>
      <c r="BG25" s="186" t="s">
        <v>27</v>
      </c>
      <c r="BH25" s="186" t="s">
        <v>27</v>
      </c>
      <c r="BI25" s="186" t="s">
        <v>27</v>
      </c>
      <c r="BJ25" s="143"/>
      <c r="BK25" s="143"/>
      <c r="BL25" s="187"/>
      <c r="BM25" s="188"/>
      <c r="BN25" s="329" t="s">
        <v>37</v>
      </c>
      <c r="BO25" s="319"/>
      <c r="BP25" s="319"/>
      <c r="BQ25" s="319"/>
      <c r="BR25" s="320"/>
      <c r="BT25" s="185">
        <v>1</v>
      </c>
      <c r="BU25" s="186" t="s">
        <v>27</v>
      </c>
      <c r="BV25" s="186" t="s">
        <v>27</v>
      </c>
      <c r="BW25" s="186" t="s">
        <v>27</v>
      </c>
      <c r="BX25" s="143"/>
      <c r="BY25" s="143"/>
      <c r="BZ25" s="187"/>
      <c r="CA25" s="188"/>
      <c r="CB25" s="329" t="s">
        <v>37</v>
      </c>
      <c r="CC25" s="319"/>
      <c r="CD25" s="319"/>
      <c r="CE25" s="319"/>
      <c r="CF25" s="320"/>
      <c r="CG25" s="176"/>
      <c r="CH25" s="185">
        <v>1</v>
      </c>
      <c r="CI25" s="186" t="s">
        <v>27</v>
      </c>
      <c r="CJ25" s="186" t="s">
        <v>27</v>
      </c>
      <c r="CK25" s="186" t="s">
        <v>27</v>
      </c>
      <c r="CL25" s="143"/>
      <c r="CM25" s="143"/>
      <c r="CN25" s="187"/>
      <c r="CO25" s="188"/>
      <c r="CP25" s="329" t="s">
        <v>37</v>
      </c>
      <c r="CQ25" s="319"/>
      <c r="CR25" s="319"/>
      <c r="CS25" s="319"/>
      <c r="CT25" s="320"/>
      <c r="CU25" s="175"/>
      <c r="CV25" s="185">
        <v>1</v>
      </c>
      <c r="CW25" s="186" t="s">
        <v>27</v>
      </c>
      <c r="CX25" s="186" t="s">
        <v>27</v>
      </c>
      <c r="CY25" s="186" t="s">
        <v>27</v>
      </c>
      <c r="CZ25" s="143"/>
      <c r="DA25" s="143"/>
      <c r="DB25" s="187"/>
      <c r="DC25" s="188"/>
      <c r="DD25" s="329" t="s">
        <v>37</v>
      </c>
      <c r="DE25" s="319"/>
      <c r="DF25" s="319"/>
      <c r="DG25" s="319"/>
      <c r="DH25" s="320"/>
      <c r="DJ25" s="185">
        <v>1</v>
      </c>
      <c r="DK25" s="186" t="s">
        <v>27</v>
      </c>
      <c r="DL25" s="186" t="s">
        <v>27</v>
      </c>
      <c r="DM25" s="186" t="s">
        <v>27</v>
      </c>
      <c r="DN25" s="143"/>
      <c r="DO25" s="143"/>
      <c r="DP25" s="187"/>
      <c r="DQ25" s="188"/>
      <c r="DR25" s="329" t="s">
        <v>37</v>
      </c>
      <c r="DS25" s="319"/>
      <c r="DT25" s="319"/>
      <c r="DU25" s="319"/>
      <c r="DV25" s="320"/>
    </row>
    <row r="26" spans="2:126" ht="27" customHeight="1" thickBot="1" x14ac:dyDescent="0.4">
      <c r="B26" s="190">
        <v>2</v>
      </c>
      <c r="C26" s="191" t="s">
        <v>27</v>
      </c>
      <c r="D26" s="191" t="s">
        <v>27</v>
      </c>
      <c r="E26" s="191" t="s">
        <v>27</v>
      </c>
      <c r="F26" s="191" t="s">
        <v>27</v>
      </c>
      <c r="G26" s="192"/>
      <c r="H26" s="192"/>
      <c r="I26" s="192"/>
      <c r="J26" s="192"/>
      <c r="K26" s="193"/>
      <c r="L26" s="194"/>
      <c r="M26" s="195"/>
      <c r="N26" s="196"/>
      <c r="P26" s="190">
        <v>2</v>
      </c>
      <c r="Q26" s="191" t="s">
        <v>27</v>
      </c>
      <c r="R26" s="191" t="s">
        <v>27</v>
      </c>
      <c r="S26" s="191" t="s">
        <v>27</v>
      </c>
      <c r="T26" s="191" t="s">
        <v>27</v>
      </c>
      <c r="U26" s="195"/>
      <c r="V26" s="195"/>
      <c r="W26" s="195"/>
      <c r="X26" s="330" t="s">
        <v>87</v>
      </c>
      <c r="Y26" s="331"/>
      <c r="Z26" s="331"/>
      <c r="AA26" s="331"/>
      <c r="AB26" s="332"/>
      <c r="AC26" s="176"/>
      <c r="AD26" s="190">
        <v>2</v>
      </c>
      <c r="AE26" s="191" t="s">
        <v>27</v>
      </c>
      <c r="AF26" s="191" t="s">
        <v>27</v>
      </c>
      <c r="AG26" s="191" t="s">
        <v>27</v>
      </c>
      <c r="AH26" s="191" t="s">
        <v>27</v>
      </c>
      <c r="AI26" s="195"/>
      <c r="AJ26" s="195"/>
      <c r="AK26" s="195"/>
      <c r="AL26" s="330" t="s">
        <v>87</v>
      </c>
      <c r="AM26" s="331"/>
      <c r="AN26" s="331"/>
      <c r="AO26" s="331"/>
      <c r="AP26" s="332"/>
      <c r="AR26" s="190">
        <v>2</v>
      </c>
      <c r="AS26" s="164" t="s">
        <v>17</v>
      </c>
      <c r="AT26" s="164" t="s">
        <v>14</v>
      </c>
      <c r="AU26" s="164" t="s">
        <v>0</v>
      </c>
      <c r="AV26" s="164" t="s">
        <v>3</v>
      </c>
      <c r="AW26" s="143"/>
      <c r="AX26" s="195"/>
      <c r="AY26" s="197"/>
      <c r="AZ26" s="310" t="s">
        <v>88</v>
      </c>
      <c r="BA26" s="311"/>
      <c r="BB26" s="311"/>
      <c r="BC26" s="311"/>
      <c r="BD26" s="312"/>
      <c r="BE26" s="176"/>
      <c r="BF26" s="190">
        <v>2</v>
      </c>
      <c r="BG26" s="191" t="s">
        <v>27</v>
      </c>
      <c r="BH26" s="191" t="s">
        <v>27</v>
      </c>
      <c r="BI26" s="191" t="s">
        <v>27</v>
      </c>
      <c r="BJ26" s="191" t="s">
        <v>27</v>
      </c>
      <c r="BK26" s="195"/>
      <c r="BL26" s="195"/>
      <c r="BM26" s="195"/>
      <c r="BN26" s="330" t="s">
        <v>87</v>
      </c>
      <c r="BO26" s="331"/>
      <c r="BP26" s="331"/>
      <c r="BQ26" s="331"/>
      <c r="BR26" s="332"/>
      <c r="BT26" s="190">
        <v>2</v>
      </c>
      <c r="BU26" s="191" t="s">
        <v>27</v>
      </c>
      <c r="BV26" s="191" t="s">
        <v>27</v>
      </c>
      <c r="BW26" s="191" t="s">
        <v>27</v>
      </c>
      <c r="BX26" s="191" t="s">
        <v>27</v>
      </c>
      <c r="BY26" s="195"/>
      <c r="BZ26" s="195"/>
      <c r="CA26" s="195"/>
      <c r="CB26" s="330" t="s">
        <v>87</v>
      </c>
      <c r="CC26" s="331"/>
      <c r="CD26" s="331"/>
      <c r="CE26" s="331"/>
      <c r="CF26" s="332"/>
      <c r="CG26" s="176"/>
      <c r="CH26" s="190">
        <v>2</v>
      </c>
      <c r="CI26" s="191" t="s">
        <v>27</v>
      </c>
      <c r="CJ26" s="191" t="s">
        <v>27</v>
      </c>
      <c r="CK26" s="191" t="s">
        <v>27</v>
      </c>
      <c r="CL26" s="191" t="s">
        <v>27</v>
      </c>
      <c r="CM26" s="195"/>
      <c r="CN26" s="195"/>
      <c r="CO26" s="195"/>
      <c r="CP26" s="330" t="s">
        <v>87</v>
      </c>
      <c r="CQ26" s="331"/>
      <c r="CR26" s="331"/>
      <c r="CS26" s="331"/>
      <c r="CT26" s="332"/>
      <c r="CU26" s="175"/>
      <c r="CV26" s="190">
        <v>2</v>
      </c>
      <c r="CW26" s="191" t="s">
        <v>27</v>
      </c>
      <c r="CX26" s="191" t="s">
        <v>27</v>
      </c>
      <c r="CY26" s="191" t="s">
        <v>27</v>
      </c>
      <c r="CZ26" s="191" t="s">
        <v>27</v>
      </c>
      <c r="DA26" s="195"/>
      <c r="DB26" s="195"/>
      <c r="DC26" s="195"/>
      <c r="DD26" s="330" t="s">
        <v>87</v>
      </c>
      <c r="DE26" s="331"/>
      <c r="DF26" s="331"/>
      <c r="DG26" s="331"/>
      <c r="DH26" s="332"/>
      <c r="DJ26" s="190">
        <v>2</v>
      </c>
      <c r="DK26" s="191" t="s">
        <v>27</v>
      </c>
      <c r="DL26" s="191" t="s">
        <v>27</v>
      </c>
      <c r="DM26" s="191" t="s">
        <v>27</v>
      </c>
      <c r="DN26" s="191" t="s">
        <v>27</v>
      </c>
      <c r="DO26" s="195"/>
      <c r="DP26" s="195"/>
      <c r="DQ26" s="195"/>
      <c r="DR26" s="330" t="s">
        <v>87</v>
      </c>
      <c r="DS26" s="331"/>
      <c r="DT26" s="331"/>
      <c r="DU26" s="331"/>
      <c r="DV26" s="332"/>
    </row>
    <row r="27" spans="2:126" ht="27" customHeight="1" x14ac:dyDescent="0.35">
      <c r="B27" s="190">
        <v>3</v>
      </c>
      <c r="C27" s="191" t="s">
        <v>27</v>
      </c>
      <c r="D27" s="191" t="s">
        <v>27</v>
      </c>
      <c r="E27" s="191" t="s">
        <v>27</v>
      </c>
      <c r="F27" s="178" t="s">
        <v>27</v>
      </c>
      <c r="G27" s="178" t="s">
        <v>27</v>
      </c>
      <c r="H27" s="198"/>
      <c r="I27" s="192"/>
      <c r="J27" s="192"/>
      <c r="K27" s="193"/>
      <c r="L27" s="194"/>
      <c r="M27" s="195"/>
      <c r="N27" s="196"/>
      <c r="P27" s="190">
        <v>3</v>
      </c>
      <c r="Q27" s="191" t="s">
        <v>27</v>
      </c>
      <c r="R27" s="191" t="s">
        <v>27</v>
      </c>
      <c r="S27" s="191" t="s">
        <v>27</v>
      </c>
      <c r="T27" s="191" t="s">
        <v>27</v>
      </c>
      <c r="U27" s="191" t="s">
        <v>27</v>
      </c>
      <c r="V27" s="195"/>
      <c r="W27" s="195"/>
      <c r="X27" s="333" t="s">
        <v>38</v>
      </c>
      <c r="Y27" s="334"/>
      <c r="Z27" s="334"/>
      <c r="AA27" s="334"/>
      <c r="AB27" s="335"/>
      <c r="AC27" s="176"/>
      <c r="AD27" s="190">
        <v>3</v>
      </c>
      <c r="AE27" s="191" t="s">
        <v>27</v>
      </c>
      <c r="AF27" s="191" t="s">
        <v>27</v>
      </c>
      <c r="AG27" s="191" t="s">
        <v>27</v>
      </c>
      <c r="AH27" s="191" t="s">
        <v>27</v>
      </c>
      <c r="AI27" s="191" t="s">
        <v>27</v>
      </c>
      <c r="AJ27" s="195"/>
      <c r="AK27" s="195"/>
      <c r="AL27" s="333" t="s">
        <v>38</v>
      </c>
      <c r="AM27" s="334"/>
      <c r="AN27" s="334"/>
      <c r="AO27" s="334"/>
      <c r="AP27" s="335"/>
      <c r="AR27" s="190">
        <v>3</v>
      </c>
      <c r="AS27" s="165" t="s">
        <v>18</v>
      </c>
      <c r="AT27" s="165" t="s">
        <v>13</v>
      </c>
      <c r="AU27" s="165" t="s">
        <v>14</v>
      </c>
      <c r="AV27" s="165" t="s">
        <v>17</v>
      </c>
      <c r="AW27" s="166" t="s">
        <v>27</v>
      </c>
      <c r="AX27" s="195"/>
      <c r="AY27" s="195"/>
      <c r="AZ27" s="313" t="s">
        <v>82</v>
      </c>
      <c r="BA27" s="314"/>
      <c r="BB27" s="314"/>
      <c r="BC27" s="314"/>
      <c r="BD27" s="315"/>
      <c r="BE27" s="176"/>
      <c r="BF27" s="190">
        <v>3</v>
      </c>
      <c r="BG27" s="191" t="s">
        <v>27</v>
      </c>
      <c r="BH27" s="191" t="s">
        <v>27</v>
      </c>
      <c r="BI27" s="191" t="s">
        <v>27</v>
      </c>
      <c r="BJ27" s="191" t="s">
        <v>27</v>
      </c>
      <c r="BK27" s="191" t="s">
        <v>27</v>
      </c>
      <c r="BL27" s="195"/>
      <c r="BM27" s="195"/>
      <c r="BN27" s="333" t="s">
        <v>38</v>
      </c>
      <c r="BO27" s="334"/>
      <c r="BP27" s="334"/>
      <c r="BQ27" s="334"/>
      <c r="BR27" s="335"/>
      <c r="BT27" s="190">
        <v>3</v>
      </c>
      <c r="BU27" s="191" t="s">
        <v>27</v>
      </c>
      <c r="BV27" s="191" t="s">
        <v>27</v>
      </c>
      <c r="BW27" s="191" t="s">
        <v>27</v>
      </c>
      <c r="BX27" s="191" t="s">
        <v>27</v>
      </c>
      <c r="BY27" s="191" t="s">
        <v>27</v>
      </c>
      <c r="BZ27" s="195"/>
      <c r="CA27" s="195"/>
      <c r="CB27" s="333" t="s">
        <v>38</v>
      </c>
      <c r="CC27" s="334"/>
      <c r="CD27" s="334"/>
      <c r="CE27" s="334"/>
      <c r="CF27" s="335"/>
      <c r="CG27" s="176"/>
      <c r="CH27" s="190">
        <v>3</v>
      </c>
      <c r="CI27" s="191" t="s">
        <v>27</v>
      </c>
      <c r="CJ27" s="191" t="s">
        <v>27</v>
      </c>
      <c r="CK27" s="191" t="s">
        <v>27</v>
      </c>
      <c r="CL27" s="191" t="s">
        <v>27</v>
      </c>
      <c r="CM27" s="191" t="s">
        <v>27</v>
      </c>
      <c r="CN27" s="195"/>
      <c r="CO27" s="195"/>
      <c r="CP27" s="333" t="s">
        <v>38</v>
      </c>
      <c r="CQ27" s="334"/>
      <c r="CR27" s="334"/>
      <c r="CS27" s="334"/>
      <c r="CT27" s="335"/>
      <c r="CU27" s="175"/>
      <c r="CV27" s="190">
        <v>3</v>
      </c>
      <c r="CW27" s="191" t="s">
        <v>27</v>
      </c>
      <c r="CX27" s="191" t="s">
        <v>27</v>
      </c>
      <c r="CY27" s="191" t="s">
        <v>27</v>
      </c>
      <c r="CZ27" s="191" t="s">
        <v>27</v>
      </c>
      <c r="DA27" s="191" t="s">
        <v>27</v>
      </c>
      <c r="DB27" s="195"/>
      <c r="DC27" s="195"/>
      <c r="DD27" s="333" t="s">
        <v>38</v>
      </c>
      <c r="DE27" s="334"/>
      <c r="DF27" s="334"/>
      <c r="DG27" s="334"/>
      <c r="DH27" s="335"/>
      <c r="DJ27" s="190">
        <v>3</v>
      </c>
      <c r="DK27" s="191" t="s">
        <v>27</v>
      </c>
      <c r="DL27" s="191" t="s">
        <v>27</v>
      </c>
      <c r="DM27" s="191" t="s">
        <v>27</v>
      </c>
      <c r="DN27" s="191" t="s">
        <v>27</v>
      </c>
      <c r="DO27" s="191" t="s">
        <v>27</v>
      </c>
      <c r="DP27" s="195"/>
      <c r="DQ27" s="195"/>
      <c r="DR27" s="333" t="s">
        <v>38</v>
      </c>
      <c r="DS27" s="334"/>
      <c r="DT27" s="334"/>
      <c r="DU27" s="334"/>
      <c r="DV27" s="335"/>
    </row>
    <row r="28" spans="2:126" ht="27" customHeight="1" thickBot="1" x14ac:dyDescent="0.4">
      <c r="B28" s="158">
        <v>4</v>
      </c>
      <c r="C28" s="199" t="s">
        <v>27</v>
      </c>
      <c r="D28" s="199" t="s">
        <v>27</v>
      </c>
      <c r="E28" s="199" t="s">
        <v>27</v>
      </c>
      <c r="F28" s="199" t="s">
        <v>27</v>
      </c>
      <c r="G28" s="199" t="s">
        <v>27</v>
      </c>
      <c r="H28" s="199" t="s">
        <v>27</v>
      </c>
      <c r="I28" s="200"/>
      <c r="J28" s="200"/>
      <c r="K28" s="201"/>
      <c r="L28" s="202"/>
      <c r="M28" s="203"/>
      <c r="N28" s="204"/>
      <c r="P28" s="205"/>
      <c r="Q28" s="206"/>
      <c r="R28" s="206"/>
      <c r="S28" s="206"/>
      <c r="T28" s="206"/>
      <c r="U28" s="206"/>
      <c r="V28" s="206"/>
      <c r="W28" s="206"/>
      <c r="X28" s="336" t="s">
        <v>87</v>
      </c>
      <c r="Y28" s="337"/>
      <c r="Z28" s="337"/>
      <c r="AA28" s="337"/>
      <c r="AB28" s="338"/>
      <c r="AC28" s="176"/>
      <c r="AD28" s="190">
        <v>4</v>
      </c>
      <c r="AE28" s="191" t="s">
        <v>27</v>
      </c>
      <c r="AF28" s="191" t="s">
        <v>27</v>
      </c>
      <c r="AG28" s="191" t="s">
        <v>27</v>
      </c>
      <c r="AH28" s="191" t="s">
        <v>27</v>
      </c>
      <c r="AI28" s="191" t="s">
        <v>27</v>
      </c>
      <c r="AJ28" s="191" t="s">
        <v>27</v>
      </c>
      <c r="AK28" s="206"/>
      <c r="AL28" s="336" t="s">
        <v>87</v>
      </c>
      <c r="AM28" s="337"/>
      <c r="AN28" s="337"/>
      <c r="AO28" s="337"/>
      <c r="AP28" s="338"/>
      <c r="AR28" s="205"/>
      <c r="AS28" s="206"/>
      <c r="AT28" s="206"/>
      <c r="AU28" s="206"/>
      <c r="AV28" s="206"/>
      <c r="AW28" s="206"/>
      <c r="AX28" s="206"/>
      <c r="AY28" s="206"/>
      <c r="AZ28" s="316" t="s">
        <v>89</v>
      </c>
      <c r="BA28" s="317"/>
      <c r="BB28" s="317"/>
      <c r="BC28" s="317"/>
      <c r="BD28" s="318"/>
      <c r="BE28" s="176"/>
      <c r="BF28" s="190">
        <v>4</v>
      </c>
      <c r="BG28" s="191" t="s">
        <v>27</v>
      </c>
      <c r="BH28" s="191" t="s">
        <v>27</v>
      </c>
      <c r="BI28" s="191" t="s">
        <v>27</v>
      </c>
      <c r="BJ28" s="191" t="s">
        <v>27</v>
      </c>
      <c r="BK28" s="191" t="s">
        <v>27</v>
      </c>
      <c r="BL28" s="191" t="s">
        <v>27</v>
      </c>
      <c r="BM28" s="206"/>
      <c r="BN28" s="336" t="s">
        <v>87</v>
      </c>
      <c r="BO28" s="337"/>
      <c r="BP28" s="337"/>
      <c r="BQ28" s="337"/>
      <c r="BR28" s="338"/>
      <c r="BT28" s="205"/>
      <c r="BU28" s="206"/>
      <c r="BV28" s="206"/>
      <c r="BW28" s="206"/>
      <c r="BX28" s="206"/>
      <c r="BY28" s="206"/>
      <c r="BZ28" s="206"/>
      <c r="CA28" s="206"/>
      <c r="CB28" s="336" t="s">
        <v>87</v>
      </c>
      <c r="CC28" s="337"/>
      <c r="CD28" s="337"/>
      <c r="CE28" s="337"/>
      <c r="CF28" s="338"/>
      <c r="CG28" s="176"/>
      <c r="CH28" s="190">
        <v>4</v>
      </c>
      <c r="CI28" s="191" t="s">
        <v>27</v>
      </c>
      <c r="CJ28" s="191" t="s">
        <v>27</v>
      </c>
      <c r="CK28" s="191" t="s">
        <v>27</v>
      </c>
      <c r="CL28" s="191" t="s">
        <v>27</v>
      </c>
      <c r="CM28" s="191" t="s">
        <v>27</v>
      </c>
      <c r="CN28" s="191" t="s">
        <v>27</v>
      </c>
      <c r="CO28" s="206"/>
      <c r="CP28" s="336" t="s">
        <v>87</v>
      </c>
      <c r="CQ28" s="337"/>
      <c r="CR28" s="337"/>
      <c r="CS28" s="337"/>
      <c r="CT28" s="338"/>
      <c r="CU28" s="175"/>
      <c r="CV28" s="205"/>
      <c r="CW28" s="206"/>
      <c r="CX28" s="206"/>
      <c r="CY28" s="206"/>
      <c r="CZ28" s="206"/>
      <c r="DA28" s="206"/>
      <c r="DB28" s="206"/>
      <c r="DC28" s="206"/>
      <c r="DD28" s="336" t="s">
        <v>87</v>
      </c>
      <c r="DE28" s="337"/>
      <c r="DF28" s="337"/>
      <c r="DG28" s="337"/>
      <c r="DH28" s="338"/>
      <c r="DJ28" s="190">
        <v>4</v>
      </c>
      <c r="DK28" s="191" t="s">
        <v>27</v>
      </c>
      <c r="DL28" s="191" t="s">
        <v>27</v>
      </c>
      <c r="DM28" s="191" t="s">
        <v>27</v>
      </c>
      <c r="DN28" s="191" t="s">
        <v>27</v>
      </c>
      <c r="DO28" s="191" t="s">
        <v>27</v>
      </c>
      <c r="DP28" s="191" t="s">
        <v>27</v>
      </c>
      <c r="DQ28" s="206"/>
      <c r="DR28" s="336" t="s">
        <v>87</v>
      </c>
      <c r="DS28" s="337"/>
      <c r="DT28" s="337"/>
      <c r="DU28" s="337"/>
      <c r="DV28" s="338"/>
    </row>
    <row r="29" spans="2:126" ht="27" customHeight="1" x14ac:dyDescent="0.35">
      <c r="B29" s="208" t="s">
        <v>0</v>
      </c>
      <c r="C29" s="169" t="s">
        <v>1</v>
      </c>
      <c r="D29" s="169" t="s">
        <v>2</v>
      </c>
      <c r="E29" s="169" t="s">
        <v>3</v>
      </c>
      <c r="F29" s="169" t="s">
        <v>4</v>
      </c>
      <c r="G29" s="169" t="s">
        <v>5</v>
      </c>
      <c r="H29" s="169" t="s">
        <v>6</v>
      </c>
      <c r="I29" s="169" t="s">
        <v>7</v>
      </c>
      <c r="J29" s="169" t="s">
        <v>8</v>
      </c>
      <c r="K29" s="169" t="s">
        <v>9</v>
      </c>
      <c r="L29" s="169" t="s">
        <v>10</v>
      </c>
      <c r="M29" s="169" t="s">
        <v>11</v>
      </c>
      <c r="N29" s="209" t="s">
        <v>12</v>
      </c>
      <c r="P29" s="208" t="s">
        <v>0</v>
      </c>
      <c r="Q29" s="169" t="s">
        <v>1</v>
      </c>
      <c r="R29" s="169" t="s">
        <v>2</v>
      </c>
      <c r="S29" s="169" t="s">
        <v>3</v>
      </c>
      <c r="T29" s="169" t="s">
        <v>4</v>
      </c>
      <c r="U29" s="169" t="s">
        <v>5</v>
      </c>
      <c r="V29" s="169" t="s">
        <v>6</v>
      </c>
      <c r="W29" s="169" t="s">
        <v>7</v>
      </c>
      <c r="X29" s="169" t="s">
        <v>8</v>
      </c>
      <c r="Y29" s="169" t="s">
        <v>9</v>
      </c>
      <c r="Z29" s="169" t="s">
        <v>10</v>
      </c>
      <c r="AA29" s="169" t="s">
        <v>11</v>
      </c>
      <c r="AB29" s="209" t="s">
        <v>12</v>
      </c>
      <c r="AC29" s="176"/>
      <c r="AD29" s="208" t="s">
        <v>0</v>
      </c>
      <c r="AE29" s="169" t="s">
        <v>1</v>
      </c>
      <c r="AF29" s="169" t="s">
        <v>2</v>
      </c>
      <c r="AG29" s="169" t="s">
        <v>3</v>
      </c>
      <c r="AH29" s="169" t="s">
        <v>4</v>
      </c>
      <c r="AI29" s="169" t="s">
        <v>5</v>
      </c>
      <c r="AJ29" s="169" t="s">
        <v>6</v>
      </c>
      <c r="AK29" s="169" t="s">
        <v>7</v>
      </c>
      <c r="AL29" s="169" t="s">
        <v>8</v>
      </c>
      <c r="AM29" s="169" t="s">
        <v>9</v>
      </c>
      <c r="AN29" s="169" t="s">
        <v>10</v>
      </c>
      <c r="AO29" s="169" t="s">
        <v>11</v>
      </c>
      <c r="AP29" s="209" t="s">
        <v>12</v>
      </c>
      <c r="AR29" s="167" t="s">
        <v>0</v>
      </c>
      <c r="AS29" s="151" t="s">
        <v>1</v>
      </c>
      <c r="AT29" s="150" t="s">
        <v>2</v>
      </c>
      <c r="AU29" s="168" t="s">
        <v>3</v>
      </c>
      <c r="AV29" s="169" t="s">
        <v>4</v>
      </c>
      <c r="AW29" s="150" t="s">
        <v>5</v>
      </c>
      <c r="AX29" s="168" t="s">
        <v>6</v>
      </c>
      <c r="AY29" s="168" t="s">
        <v>7</v>
      </c>
      <c r="AZ29" s="169" t="s">
        <v>8</v>
      </c>
      <c r="BA29" s="169" t="s">
        <v>9</v>
      </c>
      <c r="BB29" s="169" t="s">
        <v>10</v>
      </c>
      <c r="BC29" s="169" t="s">
        <v>11</v>
      </c>
      <c r="BD29" s="152" t="s">
        <v>12</v>
      </c>
      <c r="BE29" s="176"/>
      <c r="BF29" s="208" t="s">
        <v>0</v>
      </c>
      <c r="BG29" s="169" t="s">
        <v>1</v>
      </c>
      <c r="BH29" s="169" t="s">
        <v>2</v>
      </c>
      <c r="BI29" s="169" t="s">
        <v>3</v>
      </c>
      <c r="BJ29" s="169" t="s">
        <v>4</v>
      </c>
      <c r="BK29" s="169" t="s">
        <v>5</v>
      </c>
      <c r="BL29" s="169" t="s">
        <v>6</v>
      </c>
      <c r="BM29" s="169" t="s">
        <v>7</v>
      </c>
      <c r="BN29" s="169" t="s">
        <v>8</v>
      </c>
      <c r="BO29" s="169" t="s">
        <v>9</v>
      </c>
      <c r="BP29" s="169" t="s">
        <v>10</v>
      </c>
      <c r="BQ29" s="169" t="s">
        <v>11</v>
      </c>
      <c r="BR29" s="209" t="s">
        <v>12</v>
      </c>
      <c r="BT29" s="208" t="s">
        <v>0</v>
      </c>
      <c r="BU29" s="169" t="s">
        <v>1</v>
      </c>
      <c r="BV29" s="169" t="s">
        <v>2</v>
      </c>
      <c r="BW29" s="169" t="s">
        <v>3</v>
      </c>
      <c r="BX29" s="169" t="s">
        <v>4</v>
      </c>
      <c r="BY29" s="169" t="s">
        <v>5</v>
      </c>
      <c r="BZ29" s="169" t="s">
        <v>6</v>
      </c>
      <c r="CA29" s="169" t="s">
        <v>7</v>
      </c>
      <c r="CB29" s="169" t="s">
        <v>8</v>
      </c>
      <c r="CC29" s="169" t="s">
        <v>9</v>
      </c>
      <c r="CD29" s="169" t="s">
        <v>10</v>
      </c>
      <c r="CE29" s="169" t="s">
        <v>11</v>
      </c>
      <c r="CF29" s="209" t="s">
        <v>12</v>
      </c>
      <c r="CG29" s="176"/>
      <c r="CH29" s="208" t="s">
        <v>0</v>
      </c>
      <c r="CI29" s="169" t="s">
        <v>1</v>
      </c>
      <c r="CJ29" s="169" t="s">
        <v>2</v>
      </c>
      <c r="CK29" s="169" t="s">
        <v>3</v>
      </c>
      <c r="CL29" s="169" t="s">
        <v>4</v>
      </c>
      <c r="CM29" s="169" t="s">
        <v>5</v>
      </c>
      <c r="CN29" s="169" t="s">
        <v>6</v>
      </c>
      <c r="CO29" s="169" t="s">
        <v>7</v>
      </c>
      <c r="CP29" s="169" t="s">
        <v>8</v>
      </c>
      <c r="CQ29" s="169" t="s">
        <v>9</v>
      </c>
      <c r="CR29" s="169" t="s">
        <v>10</v>
      </c>
      <c r="CS29" s="169" t="s">
        <v>11</v>
      </c>
      <c r="CT29" s="209" t="s">
        <v>12</v>
      </c>
      <c r="CU29" s="175"/>
      <c r="CV29" s="208" t="s">
        <v>0</v>
      </c>
      <c r="CW29" s="169" t="s">
        <v>1</v>
      </c>
      <c r="CX29" s="169" t="s">
        <v>2</v>
      </c>
      <c r="CY29" s="169" t="s">
        <v>3</v>
      </c>
      <c r="CZ29" s="169" t="s">
        <v>4</v>
      </c>
      <c r="DA29" s="169" t="s">
        <v>5</v>
      </c>
      <c r="DB29" s="169" t="s">
        <v>6</v>
      </c>
      <c r="DC29" s="169" t="s">
        <v>7</v>
      </c>
      <c r="DD29" s="169" t="s">
        <v>8</v>
      </c>
      <c r="DE29" s="169" t="s">
        <v>9</v>
      </c>
      <c r="DF29" s="169" t="s">
        <v>10</v>
      </c>
      <c r="DG29" s="169" t="s">
        <v>11</v>
      </c>
      <c r="DH29" s="209" t="s">
        <v>12</v>
      </c>
      <c r="DJ29" s="208" t="s">
        <v>0</v>
      </c>
      <c r="DK29" s="169" t="s">
        <v>1</v>
      </c>
      <c r="DL29" s="169" t="s">
        <v>2</v>
      </c>
      <c r="DM29" s="169" t="s">
        <v>3</v>
      </c>
      <c r="DN29" s="169" t="s">
        <v>4</v>
      </c>
      <c r="DO29" s="169" t="s">
        <v>5</v>
      </c>
      <c r="DP29" s="169" t="s">
        <v>6</v>
      </c>
      <c r="DQ29" s="169" t="s">
        <v>7</v>
      </c>
      <c r="DR29" s="169" t="s">
        <v>8</v>
      </c>
      <c r="DS29" s="169" t="s">
        <v>9</v>
      </c>
      <c r="DT29" s="169" t="s">
        <v>10</v>
      </c>
      <c r="DU29" s="169" t="s">
        <v>11</v>
      </c>
      <c r="DV29" s="209" t="s">
        <v>12</v>
      </c>
    </row>
    <row r="30" spans="2:126" ht="27" customHeight="1" thickBot="1" x14ac:dyDescent="0.4">
      <c r="B30" s="212" t="s">
        <v>13</v>
      </c>
      <c r="C30" s="213" t="s">
        <v>14</v>
      </c>
      <c r="D30" s="213" t="s">
        <v>15</v>
      </c>
      <c r="E30" s="213" t="s">
        <v>16</v>
      </c>
      <c r="F30" s="213" t="s">
        <v>17</v>
      </c>
      <c r="G30" s="213" t="s">
        <v>18</v>
      </c>
      <c r="H30" s="213" t="s">
        <v>19</v>
      </c>
      <c r="I30" s="213" t="s">
        <v>20</v>
      </c>
      <c r="J30" s="213" t="s">
        <v>21</v>
      </c>
      <c r="K30" s="213" t="s">
        <v>22</v>
      </c>
      <c r="L30" s="213" t="s">
        <v>23</v>
      </c>
      <c r="M30" s="213" t="s">
        <v>24</v>
      </c>
      <c r="N30" s="214" t="s">
        <v>25</v>
      </c>
      <c r="P30" s="212" t="s">
        <v>13</v>
      </c>
      <c r="Q30" s="213" t="s">
        <v>14</v>
      </c>
      <c r="R30" s="213" t="s">
        <v>15</v>
      </c>
      <c r="S30" s="213" t="s">
        <v>16</v>
      </c>
      <c r="T30" s="213" t="s">
        <v>17</v>
      </c>
      <c r="U30" s="213" t="s">
        <v>18</v>
      </c>
      <c r="V30" s="213" t="s">
        <v>19</v>
      </c>
      <c r="W30" s="213" t="s">
        <v>20</v>
      </c>
      <c r="X30" s="213" t="s">
        <v>21</v>
      </c>
      <c r="Y30" s="213" t="s">
        <v>22</v>
      </c>
      <c r="Z30" s="213" t="s">
        <v>23</v>
      </c>
      <c r="AA30" s="213" t="s">
        <v>24</v>
      </c>
      <c r="AB30" s="214" t="s">
        <v>25</v>
      </c>
      <c r="AC30" s="176"/>
      <c r="AD30" s="212" t="s">
        <v>13</v>
      </c>
      <c r="AE30" s="213" t="s">
        <v>14</v>
      </c>
      <c r="AF30" s="213" t="s">
        <v>15</v>
      </c>
      <c r="AG30" s="213" t="s">
        <v>16</v>
      </c>
      <c r="AH30" s="213" t="s">
        <v>17</v>
      </c>
      <c r="AI30" s="213" t="s">
        <v>18</v>
      </c>
      <c r="AJ30" s="213" t="s">
        <v>19</v>
      </c>
      <c r="AK30" s="213" t="s">
        <v>20</v>
      </c>
      <c r="AL30" s="213" t="s">
        <v>21</v>
      </c>
      <c r="AM30" s="213" t="s">
        <v>22</v>
      </c>
      <c r="AN30" s="213" t="s">
        <v>23</v>
      </c>
      <c r="AO30" s="213" t="s">
        <v>24</v>
      </c>
      <c r="AP30" s="214" t="s">
        <v>25</v>
      </c>
      <c r="AR30" s="170" t="s">
        <v>13</v>
      </c>
      <c r="AS30" s="171" t="s">
        <v>14</v>
      </c>
      <c r="AT30" s="155" t="s">
        <v>15</v>
      </c>
      <c r="AU30" s="156" t="s">
        <v>16</v>
      </c>
      <c r="AV30" s="172" t="s">
        <v>17</v>
      </c>
      <c r="AW30" s="170" t="s">
        <v>18</v>
      </c>
      <c r="AX30" s="155" t="s">
        <v>19</v>
      </c>
      <c r="AY30" s="156" t="s">
        <v>20</v>
      </c>
      <c r="AZ30" s="156" t="s">
        <v>21</v>
      </c>
      <c r="BA30" s="155" t="s">
        <v>22</v>
      </c>
      <c r="BB30" s="156" t="s">
        <v>23</v>
      </c>
      <c r="BC30" s="156" t="s">
        <v>24</v>
      </c>
      <c r="BD30" s="159" t="s">
        <v>25</v>
      </c>
      <c r="BE30" s="176"/>
      <c r="BF30" s="212" t="s">
        <v>13</v>
      </c>
      <c r="BG30" s="213" t="s">
        <v>14</v>
      </c>
      <c r="BH30" s="213" t="s">
        <v>15</v>
      </c>
      <c r="BI30" s="213" t="s">
        <v>16</v>
      </c>
      <c r="BJ30" s="213" t="s">
        <v>17</v>
      </c>
      <c r="BK30" s="213" t="s">
        <v>18</v>
      </c>
      <c r="BL30" s="213" t="s">
        <v>19</v>
      </c>
      <c r="BM30" s="213" t="s">
        <v>20</v>
      </c>
      <c r="BN30" s="213" t="s">
        <v>21</v>
      </c>
      <c r="BO30" s="213" t="s">
        <v>22</v>
      </c>
      <c r="BP30" s="213" t="s">
        <v>23</v>
      </c>
      <c r="BQ30" s="213" t="s">
        <v>24</v>
      </c>
      <c r="BR30" s="214" t="s">
        <v>25</v>
      </c>
      <c r="BT30" s="212" t="s">
        <v>13</v>
      </c>
      <c r="BU30" s="213" t="s">
        <v>14</v>
      </c>
      <c r="BV30" s="213" t="s">
        <v>15</v>
      </c>
      <c r="BW30" s="213" t="s">
        <v>16</v>
      </c>
      <c r="BX30" s="213" t="s">
        <v>17</v>
      </c>
      <c r="BY30" s="213" t="s">
        <v>18</v>
      </c>
      <c r="BZ30" s="213" t="s">
        <v>19</v>
      </c>
      <c r="CA30" s="213" t="s">
        <v>20</v>
      </c>
      <c r="CB30" s="213" t="s">
        <v>21</v>
      </c>
      <c r="CC30" s="213" t="s">
        <v>22</v>
      </c>
      <c r="CD30" s="213" t="s">
        <v>23</v>
      </c>
      <c r="CE30" s="213" t="s">
        <v>24</v>
      </c>
      <c r="CF30" s="214" t="s">
        <v>25</v>
      </c>
      <c r="CG30" s="176"/>
      <c r="CH30" s="212" t="s">
        <v>13</v>
      </c>
      <c r="CI30" s="213" t="s">
        <v>14</v>
      </c>
      <c r="CJ30" s="213" t="s">
        <v>15</v>
      </c>
      <c r="CK30" s="213" t="s">
        <v>16</v>
      </c>
      <c r="CL30" s="213" t="s">
        <v>17</v>
      </c>
      <c r="CM30" s="213" t="s">
        <v>18</v>
      </c>
      <c r="CN30" s="213" t="s">
        <v>19</v>
      </c>
      <c r="CO30" s="213" t="s">
        <v>20</v>
      </c>
      <c r="CP30" s="213" t="s">
        <v>21</v>
      </c>
      <c r="CQ30" s="213" t="s">
        <v>22</v>
      </c>
      <c r="CR30" s="213" t="s">
        <v>23</v>
      </c>
      <c r="CS30" s="213" t="s">
        <v>24</v>
      </c>
      <c r="CT30" s="214" t="s">
        <v>25</v>
      </c>
      <c r="CU30" s="175"/>
      <c r="CV30" s="212" t="s">
        <v>13</v>
      </c>
      <c r="CW30" s="213" t="s">
        <v>14</v>
      </c>
      <c r="CX30" s="213" t="s">
        <v>15</v>
      </c>
      <c r="CY30" s="213" t="s">
        <v>16</v>
      </c>
      <c r="CZ30" s="213" t="s">
        <v>17</v>
      </c>
      <c r="DA30" s="213" t="s">
        <v>18</v>
      </c>
      <c r="DB30" s="213" t="s">
        <v>19</v>
      </c>
      <c r="DC30" s="213" t="s">
        <v>20</v>
      </c>
      <c r="DD30" s="213" t="s">
        <v>21</v>
      </c>
      <c r="DE30" s="213" t="s">
        <v>22</v>
      </c>
      <c r="DF30" s="213" t="s">
        <v>23</v>
      </c>
      <c r="DG30" s="213" t="s">
        <v>24</v>
      </c>
      <c r="DH30" s="214" t="s">
        <v>25</v>
      </c>
      <c r="DJ30" s="212" t="s">
        <v>13</v>
      </c>
      <c r="DK30" s="213" t="s">
        <v>14</v>
      </c>
      <c r="DL30" s="213" t="s">
        <v>15</v>
      </c>
      <c r="DM30" s="213" t="s">
        <v>16</v>
      </c>
      <c r="DN30" s="213" t="s">
        <v>17</v>
      </c>
      <c r="DO30" s="213" t="s">
        <v>18</v>
      </c>
      <c r="DP30" s="213" t="s">
        <v>19</v>
      </c>
      <c r="DQ30" s="213" t="s">
        <v>20</v>
      </c>
      <c r="DR30" s="213" t="s">
        <v>21</v>
      </c>
      <c r="DS30" s="213" t="s">
        <v>22</v>
      </c>
      <c r="DT30" s="213" t="s">
        <v>23</v>
      </c>
      <c r="DU30" s="213" t="s">
        <v>24</v>
      </c>
      <c r="DV30" s="214" t="s">
        <v>25</v>
      </c>
    </row>
    <row r="31" spans="2:126" ht="27" customHeight="1" x14ac:dyDescent="0.35">
      <c r="B31" s="218"/>
      <c r="C31" s="219" t="s">
        <v>0</v>
      </c>
      <c r="D31" s="219" t="s">
        <v>1</v>
      </c>
      <c r="E31" s="219" t="s">
        <v>2</v>
      </c>
      <c r="F31" s="219" t="s">
        <v>3</v>
      </c>
      <c r="G31" s="219" t="s">
        <v>4</v>
      </c>
      <c r="H31" s="219" t="s">
        <v>5</v>
      </c>
      <c r="I31" s="219" t="s">
        <v>6</v>
      </c>
      <c r="J31" s="219" t="s">
        <v>7</v>
      </c>
      <c r="K31" s="219" t="s">
        <v>8</v>
      </c>
      <c r="L31" s="219" t="s">
        <v>9</v>
      </c>
      <c r="M31" s="220"/>
      <c r="N31" s="221"/>
      <c r="P31" s="218"/>
      <c r="Q31" s="219" t="s">
        <v>0</v>
      </c>
      <c r="R31" s="219" t="s">
        <v>1</v>
      </c>
      <c r="S31" s="219" t="s">
        <v>2</v>
      </c>
      <c r="T31" s="219" t="s">
        <v>3</v>
      </c>
      <c r="U31" s="219" t="s">
        <v>4</v>
      </c>
      <c r="V31" s="219" t="s">
        <v>5</v>
      </c>
      <c r="W31" s="220"/>
      <c r="X31" s="187"/>
      <c r="Y31" s="187"/>
      <c r="Z31" s="187"/>
      <c r="AA31" s="187"/>
      <c r="AB31" s="221"/>
      <c r="AC31" s="176"/>
      <c r="AD31" s="218"/>
      <c r="AE31" s="219" t="s">
        <v>0</v>
      </c>
      <c r="AF31" s="219" t="s">
        <v>1</v>
      </c>
      <c r="AG31" s="219" t="s">
        <v>2</v>
      </c>
      <c r="AH31" s="219" t="s">
        <v>3</v>
      </c>
      <c r="AI31" s="219" t="s">
        <v>4</v>
      </c>
      <c r="AJ31" s="219" t="s">
        <v>5</v>
      </c>
      <c r="AK31" s="220"/>
      <c r="AL31" s="187"/>
      <c r="AM31" s="187"/>
      <c r="AN31" s="187"/>
      <c r="AO31" s="187"/>
      <c r="AP31" s="221"/>
      <c r="AR31" s="218"/>
      <c r="AS31" s="219" t="s">
        <v>0</v>
      </c>
      <c r="AT31" s="219" t="s">
        <v>1</v>
      </c>
      <c r="AU31" s="219" t="s">
        <v>2</v>
      </c>
      <c r="AV31" s="219" t="s">
        <v>3</v>
      </c>
      <c r="AW31" s="219" t="s">
        <v>4</v>
      </c>
      <c r="AX31" s="219" t="s">
        <v>5</v>
      </c>
      <c r="AY31" s="219" t="s">
        <v>6</v>
      </c>
      <c r="AZ31" s="219" t="s">
        <v>7</v>
      </c>
      <c r="BA31" s="220"/>
      <c r="BB31" s="187"/>
      <c r="BC31" s="187"/>
      <c r="BD31" s="221"/>
      <c r="BE31" s="176"/>
      <c r="BF31" s="218"/>
      <c r="BG31" s="219" t="s">
        <v>0</v>
      </c>
      <c r="BH31" s="219" t="s">
        <v>1</v>
      </c>
      <c r="BI31" s="219" t="s">
        <v>2</v>
      </c>
      <c r="BJ31" s="219" t="s">
        <v>3</v>
      </c>
      <c r="BK31" s="219" t="s">
        <v>4</v>
      </c>
      <c r="BL31" s="219" t="s">
        <v>5</v>
      </c>
      <c r="BM31" s="219" t="s">
        <v>6</v>
      </c>
      <c r="BN31" s="219" t="s">
        <v>7</v>
      </c>
      <c r="BO31" s="220"/>
      <c r="BP31" s="187"/>
      <c r="BQ31" s="187"/>
      <c r="BR31" s="221"/>
      <c r="BT31" s="218"/>
      <c r="BU31" s="219" t="s">
        <v>0</v>
      </c>
      <c r="BV31" s="219" t="s">
        <v>1</v>
      </c>
      <c r="BW31" s="219" t="s">
        <v>2</v>
      </c>
      <c r="BX31" s="219" t="s">
        <v>3</v>
      </c>
      <c r="BY31" s="219" t="s">
        <v>4</v>
      </c>
      <c r="BZ31" s="219" t="s">
        <v>5</v>
      </c>
      <c r="CA31" s="219" t="s">
        <v>6</v>
      </c>
      <c r="CB31" s="219" t="s">
        <v>7</v>
      </c>
      <c r="CC31" s="219" t="s">
        <v>8</v>
      </c>
      <c r="CD31" s="219" t="s">
        <v>9</v>
      </c>
      <c r="CE31" s="220"/>
      <c r="CF31" s="221"/>
      <c r="CG31" s="176"/>
      <c r="CH31" s="218"/>
      <c r="CI31" s="219" t="s">
        <v>0</v>
      </c>
      <c r="CJ31" s="219" t="s">
        <v>1</v>
      </c>
      <c r="CK31" s="219" t="s">
        <v>2</v>
      </c>
      <c r="CL31" s="219" t="s">
        <v>3</v>
      </c>
      <c r="CM31" s="219" t="s">
        <v>4</v>
      </c>
      <c r="CN31" s="219" t="s">
        <v>5</v>
      </c>
      <c r="CO31" s="219" t="s">
        <v>6</v>
      </c>
      <c r="CP31" s="219" t="s">
        <v>7</v>
      </c>
      <c r="CQ31" s="219" t="s">
        <v>8</v>
      </c>
      <c r="CR31" s="219" t="s">
        <v>9</v>
      </c>
      <c r="CS31" s="220"/>
      <c r="CT31" s="221"/>
      <c r="CU31" s="175"/>
      <c r="CV31" s="218"/>
      <c r="CW31" s="219" t="s">
        <v>0</v>
      </c>
      <c r="CX31" s="219" t="s">
        <v>1</v>
      </c>
      <c r="CY31" s="219" t="s">
        <v>2</v>
      </c>
      <c r="CZ31" s="219" t="s">
        <v>3</v>
      </c>
      <c r="DA31" s="219" t="s">
        <v>4</v>
      </c>
      <c r="DB31" s="219" t="s">
        <v>5</v>
      </c>
      <c r="DC31" s="219" t="s">
        <v>6</v>
      </c>
      <c r="DD31" s="219" t="s">
        <v>7</v>
      </c>
      <c r="DE31" s="219" t="s">
        <v>8</v>
      </c>
      <c r="DF31" s="219" t="s">
        <v>9</v>
      </c>
      <c r="DG31" s="219" t="s">
        <v>8</v>
      </c>
      <c r="DH31" s="222" t="s">
        <v>9</v>
      </c>
      <c r="DJ31" s="218"/>
      <c r="DK31" s="219" t="s">
        <v>0</v>
      </c>
      <c r="DL31" s="219" t="s">
        <v>1</v>
      </c>
      <c r="DM31" s="219" t="s">
        <v>2</v>
      </c>
      <c r="DN31" s="219" t="s">
        <v>3</v>
      </c>
      <c r="DO31" s="219" t="s">
        <v>4</v>
      </c>
      <c r="DP31" s="219" t="s">
        <v>5</v>
      </c>
      <c r="DQ31" s="219" t="s">
        <v>6</v>
      </c>
      <c r="DR31" s="219" t="s">
        <v>7</v>
      </c>
      <c r="DS31" s="219" t="s">
        <v>8</v>
      </c>
      <c r="DT31" s="219" t="s">
        <v>9</v>
      </c>
      <c r="DU31" s="219" t="s">
        <v>8</v>
      </c>
      <c r="DV31" s="222" t="s">
        <v>9</v>
      </c>
    </row>
    <row r="32" spans="2:126" ht="27" customHeight="1" x14ac:dyDescent="0.35">
      <c r="B32" s="223">
        <v>1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224"/>
      <c r="N32" s="196"/>
      <c r="P32" s="223">
        <v>1</v>
      </c>
      <c r="Q32" s="162"/>
      <c r="R32" s="162"/>
      <c r="S32" s="162"/>
      <c r="T32" s="162"/>
      <c r="U32" s="162"/>
      <c r="V32" s="162"/>
      <c r="W32" s="224"/>
      <c r="X32" s="195"/>
      <c r="Y32" s="195"/>
      <c r="Z32" s="195"/>
      <c r="AA32" s="195"/>
      <c r="AB32" s="196"/>
      <c r="AC32" s="176"/>
      <c r="AD32" s="223">
        <v>1</v>
      </c>
      <c r="AE32" s="162"/>
      <c r="AF32" s="162"/>
      <c r="AG32" s="162"/>
      <c r="AH32" s="162"/>
      <c r="AI32" s="162"/>
      <c r="AJ32" s="162"/>
      <c r="AK32" s="224"/>
      <c r="AL32" s="195"/>
      <c r="AM32" s="195"/>
      <c r="AN32" s="195"/>
      <c r="AO32" s="195"/>
      <c r="AP32" s="196"/>
      <c r="AR32" s="223">
        <v>1</v>
      </c>
      <c r="AS32" s="161"/>
      <c r="AT32" s="161"/>
      <c r="AU32" s="161"/>
      <c r="AV32" s="161"/>
      <c r="AW32" s="161"/>
      <c r="AX32" s="161"/>
      <c r="AY32" s="161"/>
      <c r="AZ32" s="173"/>
      <c r="BA32" s="224"/>
      <c r="BB32" s="195"/>
      <c r="BC32" s="195"/>
      <c r="BD32" s="196"/>
      <c r="BE32" s="176"/>
      <c r="BF32" s="223">
        <v>1</v>
      </c>
      <c r="BG32" s="162"/>
      <c r="BH32" s="162"/>
      <c r="BI32" s="162"/>
      <c r="BJ32" s="162"/>
      <c r="BK32" s="162"/>
      <c r="BL32" s="162"/>
      <c r="BM32" s="162"/>
      <c r="BN32" s="162"/>
      <c r="BO32" s="224"/>
      <c r="BP32" s="195"/>
      <c r="BQ32" s="195"/>
      <c r="BR32" s="196"/>
      <c r="BT32" s="223">
        <v>1</v>
      </c>
      <c r="BU32" s="162"/>
      <c r="BV32" s="162"/>
      <c r="BW32" s="162"/>
      <c r="BX32" s="162"/>
      <c r="BY32" s="162"/>
      <c r="BZ32" s="162"/>
      <c r="CA32" s="162"/>
      <c r="CB32" s="162"/>
      <c r="CC32" s="162"/>
      <c r="CD32" s="162"/>
      <c r="CE32" s="224"/>
      <c r="CF32" s="196"/>
      <c r="CG32" s="176"/>
      <c r="CH32" s="223">
        <v>1</v>
      </c>
      <c r="CI32" s="162"/>
      <c r="CJ32" s="162"/>
      <c r="CK32" s="162"/>
      <c r="CL32" s="162"/>
      <c r="CM32" s="162"/>
      <c r="CN32" s="162"/>
      <c r="CO32" s="162"/>
      <c r="CP32" s="162"/>
      <c r="CQ32" s="162"/>
      <c r="CR32" s="162"/>
      <c r="CS32" s="224"/>
      <c r="CT32" s="196"/>
      <c r="CU32" s="175"/>
      <c r="CV32" s="223">
        <v>1</v>
      </c>
      <c r="CW32" s="162"/>
      <c r="CX32" s="162"/>
      <c r="CY32" s="162"/>
      <c r="CZ32" s="162"/>
      <c r="DA32" s="162"/>
      <c r="DB32" s="162"/>
      <c r="DC32" s="162"/>
      <c r="DD32" s="162"/>
      <c r="DE32" s="162"/>
      <c r="DF32" s="162"/>
      <c r="DG32" s="162"/>
      <c r="DH32" s="225"/>
      <c r="DJ32" s="223">
        <v>1</v>
      </c>
      <c r="DK32" s="162"/>
      <c r="DL32" s="162"/>
      <c r="DM32" s="162"/>
      <c r="DN32" s="162"/>
      <c r="DO32" s="162"/>
      <c r="DP32" s="162"/>
      <c r="DQ32" s="162"/>
      <c r="DR32" s="162"/>
      <c r="DS32" s="162"/>
      <c r="DT32" s="162"/>
      <c r="DU32" s="162"/>
      <c r="DV32" s="225"/>
    </row>
    <row r="33" spans="2:126" ht="27" customHeight="1" x14ac:dyDescent="0.35">
      <c r="B33" s="223">
        <v>2</v>
      </c>
      <c r="C33" s="160"/>
      <c r="D33" s="242" t="s">
        <v>11</v>
      </c>
      <c r="E33" s="160"/>
      <c r="F33" s="162"/>
      <c r="G33" s="162"/>
      <c r="H33" s="162"/>
      <c r="I33" s="162"/>
      <c r="J33" s="162"/>
      <c r="K33" s="162"/>
      <c r="L33" s="162"/>
      <c r="M33" s="224"/>
      <c r="N33" s="196"/>
      <c r="P33" s="223">
        <v>2</v>
      </c>
      <c r="Q33" s="162"/>
      <c r="R33" s="162"/>
      <c r="S33" s="162"/>
      <c r="T33" s="162"/>
      <c r="U33" s="162"/>
      <c r="V33" s="162"/>
      <c r="W33" s="224"/>
      <c r="X33" s="195"/>
      <c r="Y33" s="195"/>
      <c r="Z33" s="195"/>
      <c r="AA33" s="195"/>
      <c r="AB33" s="196"/>
      <c r="AC33" s="176"/>
      <c r="AD33" s="223">
        <v>2</v>
      </c>
      <c r="AE33" s="162"/>
      <c r="AF33" s="162"/>
      <c r="AG33" s="162"/>
      <c r="AH33" s="162"/>
      <c r="AI33" s="162"/>
      <c r="AJ33" s="162"/>
      <c r="AK33" s="224"/>
      <c r="AL33" s="195"/>
      <c r="AM33" s="195"/>
      <c r="AN33" s="195"/>
      <c r="AO33" s="195"/>
      <c r="AP33" s="196"/>
      <c r="AR33" s="223">
        <v>2</v>
      </c>
      <c r="AS33" s="161"/>
      <c r="AT33" s="160"/>
      <c r="AU33" s="161"/>
      <c r="AV33" s="160"/>
      <c r="AW33" s="161"/>
      <c r="AX33" s="161"/>
      <c r="AY33" s="160"/>
      <c r="AZ33" s="173"/>
      <c r="BA33" s="224"/>
      <c r="BB33" s="195"/>
      <c r="BC33" s="195"/>
      <c r="BD33" s="196"/>
      <c r="BE33" s="176"/>
      <c r="BF33" s="223">
        <v>2</v>
      </c>
      <c r="BG33" s="162"/>
      <c r="BH33" s="162"/>
      <c r="BI33" s="162"/>
      <c r="BJ33" s="162"/>
      <c r="BK33" s="162"/>
      <c r="BL33" s="162"/>
      <c r="BM33" s="162"/>
      <c r="BN33" s="162"/>
      <c r="BO33" s="224"/>
      <c r="BP33" s="195"/>
      <c r="BQ33" s="195"/>
      <c r="BR33" s="196"/>
      <c r="BT33" s="223">
        <v>2</v>
      </c>
      <c r="BU33" s="162"/>
      <c r="BV33" s="162"/>
      <c r="BW33" s="162"/>
      <c r="BX33" s="162"/>
      <c r="BY33" s="162"/>
      <c r="BZ33" s="162"/>
      <c r="CA33" s="162"/>
      <c r="CB33" s="162"/>
      <c r="CC33" s="162"/>
      <c r="CD33" s="162"/>
      <c r="CE33" s="224"/>
      <c r="CF33" s="196"/>
      <c r="CG33" s="176"/>
      <c r="CH33" s="223">
        <v>2</v>
      </c>
      <c r="CI33" s="162"/>
      <c r="CJ33" s="162"/>
      <c r="CK33" s="162"/>
      <c r="CL33" s="162"/>
      <c r="CM33" s="162"/>
      <c r="CN33" s="162"/>
      <c r="CO33" s="162"/>
      <c r="CP33" s="162"/>
      <c r="CQ33" s="162"/>
      <c r="CR33" s="162"/>
      <c r="CS33" s="224"/>
      <c r="CT33" s="196"/>
      <c r="CU33" s="175"/>
      <c r="CV33" s="223">
        <v>2</v>
      </c>
      <c r="CW33" s="162"/>
      <c r="CX33" s="162"/>
      <c r="CY33" s="162"/>
      <c r="CZ33" s="162"/>
      <c r="DA33" s="162"/>
      <c r="DB33" s="162"/>
      <c r="DC33" s="162"/>
      <c r="DD33" s="162"/>
      <c r="DE33" s="162"/>
      <c r="DF33" s="162"/>
      <c r="DG33" s="162"/>
      <c r="DH33" s="225"/>
      <c r="DJ33" s="223">
        <v>2</v>
      </c>
      <c r="DK33" s="162"/>
      <c r="DL33" s="162"/>
      <c r="DM33" s="162"/>
      <c r="DN33" s="162"/>
      <c r="DO33" s="162"/>
      <c r="DP33" s="162"/>
      <c r="DQ33" s="162"/>
      <c r="DR33" s="162"/>
      <c r="DS33" s="162"/>
      <c r="DT33" s="162"/>
      <c r="DU33" s="162"/>
      <c r="DV33" s="225"/>
    </row>
    <row r="34" spans="2:126" ht="27" customHeight="1" x14ac:dyDescent="0.35">
      <c r="B34" s="223">
        <v>3</v>
      </c>
      <c r="C34" s="160"/>
      <c r="D34" s="226"/>
      <c r="E34" s="160"/>
      <c r="F34" s="162"/>
      <c r="G34" s="162"/>
      <c r="H34" s="162"/>
      <c r="I34" s="162"/>
      <c r="J34" s="162"/>
      <c r="K34" s="162"/>
      <c r="L34" s="162"/>
      <c r="M34" s="224"/>
      <c r="N34" s="196"/>
      <c r="P34" s="223">
        <v>3</v>
      </c>
      <c r="Q34" s="162"/>
      <c r="R34" s="162"/>
      <c r="S34" s="162"/>
      <c r="T34" s="162"/>
      <c r="U34" s="162"/>
      <c r="V34" s="162"/>
      <c r="W34" s="224"/>
      <c r="X34" s="195"/>
      <c r="Y34" s="195"/>
      <c r="Z34" s="195"/>
      <c r="AA34" s="195"/>
      <c r="AB34" s="196"/>
      <c r="AC34" s="176"/>
      <c r="AD34" s="223">
        <v>3</v>
      </c>
      <c r="AE34" s="162"/>
      <c r="AF34" s="162"/>
      <c r="AG34" s="162"/>
      <c r="AH34" s="162"/>
      <c r="AI34" s="162"/>
      <c r="AJ34" s="162"/>
      <c r="AK34" s="224"/>
      <c r="AL34" s="195"/>
      <c r="AM34" s="195"/>
      <c r="AN34" s="195"/>
      <c r="AO34" s="195"/>
      <c r="AP34" s="196"/>
      <c r="AR34" s="223">
        <v>3</v>
      </c>
      <c r="AS34" s="161"/>
      <c r="AT34" s="161"/>
      <c r="AU34" s="161"/>
      <c r="AV34" s="161"/>
      <c r="AW34" s="161"/>
      <c r="AX34" s="161"/>
      <c r="AY34" s="161"/>
      <c r="AZ34" s="173"/>
      <c r="BA34" s="224"/>
      <c r="BB34" s="195"/>
      <c r="BC34" s="195"/>
      <c r="BD34" s="196"/>
      <c r="BE34" s="176"/>
      <c r="BF34" s="223">
        <v>3</v>
      </c>
      <c r="BG34" s="162"/>
      <c r="BH34" s="162"/>
      <c r="BI34" s="162"/>
      <c r="BJ34" s="162"/>
      <c r="BK34" s="162"/>
      <c r="BL34" s="162"/>
      <c r="BM34" s="162"/>
      <c r="BN34" s="162"/>
      <c r="BO34" s="224"/>
      <c r="BP34" s="195"/>
      <c r="BQ34" s="195"/>
      <c r="BR34" s="196"/>
      <c r="BT34" s="223">
        <v>3</v>
      </c>
      <c r="BU34" s="162"/>
      <c r="BV34" s="162"/>
      <c r="BW34" s="162"/>
      <c r="BX34" s="162"/>
      <c r="BY34" s="162"/>
      <c r="BZ34" s="162"/>
      <c r="CA34" s="162"/>
      <c r="CB34" s="162"/>
      <c r="CC34" s="162"/>
      <c r="CD34" s="162"/>
      <c r="CE34" s="224"/>
      <c r="CF34" s="196"/>
      <c r="CG34" s="176"/>
      <c r="CH34" s="223">
        <v>3</v>
      </c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224"/>
      <c r="CT34" s="196"/>
      <c r="CU34" s="175"/>
      <c r="CV34" s="223">
        <v>3</v>
      </c>
      <c r="CW34" s="162"/>
      <c r="CX34" s="162"/>
      <c r="CY34" s="162"/>
      <c r="CZ34" s="162"/>
      <c r="DA34" s="162"/>
      <c r="DB34" s="162"/>
      <c r="DC34" s="162"/>
      <c r="DD34" s="162"/>
      <c r="DE34" s="162"/>
      <c r="DF34" s="162"/>
      <c r="DG34" s="162"/>
      <c r="DH34" s="225"/>
      <c r="DJ34" s="223">
        <v>3</v>
      </c>
      <c r="DK34" s="162"/>
      <c r="DL34" s="162"/>
      <c r="DM34" s="162"/>
      <c r="DN34" s="162"/>
      <c r="DO34" s="162"/>
      <c r="DP34" s="162"/>
      <c r="DQ34" s="162"/>
      <c r="DR34" s="162"/>
      <c r="DS34" s="162"/>
      <c r="DT34" s="162"/>
      <c r="DU34" s="162"/>
      <c r="DV34" s="225"/>
    </row>
    <row r="35" spans="2:126" ht="27" customHeight="1" x14ac:dyDescent="0.35">
      <c r="B35" s="223">
        <v>4</v>
      </c>
      <c r="C35" s="160"/>
      <c r="D35" s="227"/>
      <c r="E35" s="160"/>
      <c r="F35" s="162"/>
      <c r="G35" s="162"/>
      <c r="H35" s="162"/>
      <c r="I35" s="162"/>
      <c r="J35" s="162"/>
      <c r="K35" s="162"/>
      <c r="L35" s="162"/>
      <c r="M35" s="224"/>
      <c r="N35" s="196"/>
      <c r="P35" s="223">
        <v>4</v>
      </c>
      <c r="Q35" s="162"/>
      <c r="R35" s="162"/>
      <c r="S35" s="162"/>
      <c r="T35" s="162"/>
      <c r="U35" s="162"/>
      <c r="V35" s="162"/>
      <c r="W35" s="224"/>
      <c r="X35" s="195"/>
      <c r="Y35" s="195"/>
      <c r="Z35" s="195"/>
      <c r="AA35" s="195"/>
      <c r="AB35" s="196"/>
      <c r="AC35" s="176"/>
      <c r="AD35" s="223">
        <v>4</v>
      </c>
      <c r="AE35" s="162"/>
      <c r="AF35" s="162"/>
      <c r="AG35" s="162"/>
      <c r="AH35" s="162"/>
      <c r="AI35" s="162"/>
      <c r="AJ35" s="162"/>
      <c r="AK35" s="224"/>
      <c r="AL35" s="195"/>
      <c r="AM35" s="195"/>
      <c r="AN35" s="195"/>
      <c r="AO35" s="195"/>
      <c r="AP35" s="196"/>
      <c r="AR35" s="223">
        <v>4</v>
      </c>
      <c r="AS35" s="161"/>
      <c r="AT35" s="161"/>
      <c r="AU35" s="161"/>
      <c r="AV35" s="160"/>
      <c r="AW35" s="161"/>
      <c r="AX35" s="161"/>
      <c r="AY35" s="161"/>
      <c r="AZ35" s="173"/>
      <c r="BA35" s="224"/>
      <c r="BB35" s="195"/>
      <c r="BC35" s="195"/>
      <c r="BD35" s="196"/>
      <c r="BE35" s="176"/>
      <c r="BF35" s="223">
        <v>4</v>
      </c>
      <c r="BG35" s="162"/>
      <c r="BH35" s="162"/>
      <c r="BI35" s="162"/>
      <c r="BJ35" s="162"/>
      <c r="BK35" s="162"/>
      <c r="BL35" s="162"/>
      <c r="BM35" s="162"/>
      <c r="BN35" s="162"/>
      <c r="BO35" s="224"/>
      <c r="BP35" s="195"/>
      <c r="BQ35" s="195"/>
      <c r="BR35" s="196"/>
      <c r="BT35" s="223">
        <v>4</v>
      </c>
      <c r="BU35" s="162"/>
      <c r="BV35" s="162"/>
      <c r="BW35" s="162"/>
      <c r="BX35" s="162"/>
      <c r="BY35" s="162"/>
      <c r="BZ35" s="162"/>
      <c r="CA35" s="162"/>
      <c r="CB35" s="162"/>
      <c r="CC35" s="162"/>
      <c r="CD35" s="162"/>
      <c r="CE35" s="224"/>
      <c r="CF35" s="196"/>
      <c r="CG35" s="176"/>
      <c r="CH35" s="223">
        <v>4</v>
      </c>
      <c r="CI35" s="162"/>
      <c r="CJ35" s="162"/>
      <c r="CK35" s="162"/>
      <c r="CL35" s="162"/>
      <c r="CM35" s="162"/>
      <c r="CN35" s="162"/>
      <c r="CO35" s="162"/>
      <c r="CP35" s="162"/>
      <c r="CQ35" s="162"/>
      <c r="CR35" s="162"/>
      <c r="CS35" s="224"/>
      <c r="CT35" s="196"/>
      <c r="CU35" s="175"/>
      <c r="CV35" s="223">
        <v>4</v>
      </c>
      <c r="CW35" s="162"/>
      <c r="CX35" s="162"/>
      <c r="CY35" s="162"/>
      <c r="CZ35" s="162"/>
      <c r="DA35" s="162"/>
      <c r="DB35" s="162"/>
      <c r="DC35" s="162"/>
      <c r="DD35" s="162"/>
      <c r="DE35" s="162"/>
      <c r="DF35" s="162"/>
      <c r="DG35" s="162"/>
      <c r="DH35" s="225"/>
      <c r="DJ35" s="223">
        <v>4</v>
      </c>
      <c r="DK35" s="162"/>
      <c r="DL35" s="162"/>
      <c r="DM35" s="162"/>
      <c r="DN35" s="162"/>
      <c r="DO35" s="162"/>
      <c r="DP35" s="162"/>
      <c r="DQ35" s="162"/>
      <c r="DR35" s="162"/>
      <c r="DS35" s="162"/>
      <c r="DT35" s="162"/>
      <c r="DU35" s="162"/>
      <c r="DV35" s="225"/>
    </row>
    <row r="36" spans="2:126" ht="27" customHeight="1" x14ac:dyDescent="0.35">
      <c r="B36" s="223">
        <v>5</v>
      </c>
      <c r="C36" s="162"/>
      <c r="D36" s="228"/>
      <c r="E36" s="162"/>
      <c r="F36" s="162"/>
      <c r="G36" s="162"/>
      <c r="H36" s="162"/>
      <c r="I36" s="162"/>
      <c r="J36" s="162"/>
      <c r="K36" s="162"/>
      <c r="L36" s="162"/>
      <c r="M36" s="224"/>
      <c r="N36" s="196"/>
      <c r="P36" s="223">
        <v>5</v>
      </c>
      <c r="Q36" s="162"/>
      <c r="R36" s="228"/>
      <c r="S36" s="162"/>
      <c r="T36" s="162"/>
      <c r="U36" s="162"/>
      <c r="V36" s="162"/>
      <c r="W36" s="224"/>
      <c r="X36" s="195"/>
      <c r="Y36" s="195"/>
      <c r="Z36" s="195"/>
      <c r="AA36" s="195"/>
      <c r="AB36" s="196"/>
      <c r="AC36" s="176"/>
      <c r="AD36" s="223">
        <v>5</v>
      </c>
      <c r="AE36" s="162"/>
      <c r="AF36" s="228"/>
      <c r="AG36" s="162"/>
      <c r="AH36" s="162"/>
      <c r="AI36" s="162"/>
      <c r="AJ36" s="162"/>
      <c r="AK36" s="224"/>
      <c r="AL36" s="195"/>
      <c r="AM36" s="195"/>
      <c r="AN36" s="195"/>
      <c r="AO36" s="195"/>
      <c r="AP36" s="196"/>
      <c r="AR36" s="223">
        <v>5</v>
      </c>
      <c r="AS36" s="161"/>
      <c r="AT36" s="161"/>
      <c r="AU36" s="161"/>
      <c r="AV36" s="161"/>
      <c r="AW36" s="161"/>
      <c r="AX36" s="161"/>
      <c r="AY36" s="160"/>
      <c r="AZ36" s="173"/>
      <c r="BA36" s="224"/>
      <c r="BB36" s="195"/>
      <c r="BC36" s="195"/>
      <c r="BD36" s="196"/>
      <c r="BE36" s="176"/>
      <c r="BF36" s="223">
        <v>5</v>
      </c>
      <c r="BG36" s="162"/>
      <c r="BH36" s="228"/>
      <c r="BI36" s="162"/>
      <c r="BJ36" s="162"/>
      <c r="BK36" s="162"/>
      <c r="BL36" s="162"/>
      <c r="BM36" s="162"/>
      <c r="BN36" s="162"/>
      <c r="BO36" s="224"/>
      <c r="BP36" s="195"/>
      <c r="BQ36" s="195"/>
      <c r="BR36" s="196"/>
      <c r="BT36" s="223">
        <v>5</v>
      </c>
      <c r="BU36" s="162"/>
      <c r="BV36" s="228"/>
      <c r="BW36" s="162"/>
      <c r="BX36" s="162"/>
      <c r="BY36" s="162"/>
      <c r="BZ36" s="162"/>
      <c r="CA36" s="162"/>
      <c r="CB36" s="162"/>
      <c r="CC36" s="162"/>
      <c r="CD36" s="162"/>
      <c r="CE36" s="224"/>
      <c r="CF36" s="196"/>
      <c r="CG36" s="176"/>
      <c r="CH36" s="223">
        <v>5</v>
      </c>
      <c r="CI36" s="162"/>
      <c r="CJ36" s="228"/>
      <c r="CK36" s="162"/>
      <c r="CL36" s="162"/>
      <c r="CM36" s="162"/>
      <c r="CN36" s="162"/>
      <c r="CO36" s="162"/>
      <c r="CP36" s="162"/>
      <c r="CQ36" s="162"/>
      <c r="CR36" s="162"/>
      <c r="CS36" s="224"/>
      <c r="CT36" s="196"/>
      <c r="CU36" s="175"/>
      <c r="CV36" s="223">
        <v>5</v>
      </c>
      <c r="CW36" s="162"/>
      <c r="CX36" s="228"/>
      <c r="CY36" s="162"/>
      <c r="CZ36" s="162"/>
      <c r="DA36" s="162"/>
      <c r="DB36" s="162"/>
      <c r="DC36" s="162"/>
      <c r="DD36" s="162"/>
      <c r="DE36" s="162"/>
      <c r="DF36" s="162"/>
      <c r="DG36" s="162"/>
      <c r="DH36" s="225"/>
      <c r="DJ36" s="223">
        <v>5</v>
      </c>
      <c r="DK36" s="162"/>
      <c r="DL36" s="228"/>
      <c r="DM36" s="162"/>
      <c r="DN36" s="162"/>
      <c r="DO36" s="162"/>
      <c r="DP36" s="162"/>
      <c r="DQ36" s="162"/>
      <c r="DR36" s="162"/>
      <c r="DS36" s="162"/>
      <c r="DT36" s="162"/>
      <c r="DU36" s="162"/>
      <c r="DV36" s="225"/>
    </row>
    <row r="37" spans="2:126" ht="27" customHeight="1" x14ac:dyDescent="0.35">
      <c r="B37" s="223">
        <v>6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224"/>
      <c r="N37" s="196"/>
      <c r="P37" s="223">
        <v>6</v>
      </c>
      <c r="Q37" s="162"/>
      <c r="R37" s="162"/>
      <c r="S37" s="162"/>
      <c r="T37" s="162"/>
      <c r="U37" s="162"/>
      <c r="V37" s="162"/>
      <c r="W37" s="224"/>
      <c r="X37" s="195"/>
      <c r="Y37" s="195"/>
      <c r="Z37" s="195"/>
      <c r="AA37" s="195"/>
      <c r="AB37" s="196"/>
      <c r="AC37" s="176"/>
      <c r="AD37" s="223">
        <v>6</v>
      </c>
      <c r="AE37" s="162"/>
      <c r="AF37" s="162"/>
      <c r="AG37" s="162"/>
      <c r="AH37" s="162"/>
      <c r="AI37" s="162"/>
      <c r="AJ37" s="162"/>
      <c r="AK37" s="224"/>
      <c r="AL37" s="195"/>
      <c r="AM37" s="195"/>
      <c r="AN37" s="195"/>
      <c r="AO37" s="195"/>
      <c r="AP37" s="196"/>
      <c r="AR37" s="223">
        <v>6</v>
      </c>
      <c r="AS37" s="161"/>
      <c r="AT37" s="161"/>
      <c r="AU37" s="161"/>
      <c r="AV37" s="161"/>
      <c r="AW37" s="174" t="s">
        <v>17</v>
      </c>
      <c r="AX37" s="226" t="s">
        <v>39</v>
      </c>
      <c r="AY37" s="161"/>
      <c r="AZ37" s="173"/>
      <c r="BA37" s="224"/>
      <c r="BB37" s="195"/>
      <c r="BC37" s="195"/>
      <c r="BD37" s="196"/>
      <c r="BE37" s="176"/>
      <c r="BF37" s="223">
        <v>6</v>
      </c>
      <c r="BG37" s="162"/>
      <c r="BH37" s="162"/>
      <c r="BI37" s="162"/>
      <c r="BJ37" s="162"/>
      <c r="BK37" s="162"/>
      <c r="BL37" s="162"/>
      <c r="BM37" s="162"/>
      <c r="BN37" s="162"/>
      <c r="BO37" s="224"/>
      <c r="BP37" s="195"/>
      <c r="BQ37" s="195"/>
      <c r="BR37" s="196"/>
      <c r="BT37" s="223">
        <v>6</v>
      </c>
      <c r="BU37" s="162"/>
      <c r="BV37" s="162"/>
      <c r="BW37" s="162"/>
      <c r="BX37" s="162"/>
      <c r="BY37" s="162"/>
      <c r="BZ37" s="162"/>
      <c r="CA37" s="162"/>
      <c r="CB37" s="162"/>
      <c r="CC37" s="162"/>
      <c r="CD37" s="162"/>
      <c r="CE37" s="224"/>
      <c r="CF37" s="196"/>
      <c r="CG37" s="176"/>
      <c r="CH37" s="223">
        <v>6</v>
      </c>
      <c r="CI37" s="162"/>
      <c r="CJ37" s="162"/>
      <c r="CK37" s="162"/>
      <c r="CL37" s="162"/>
      <c r="CM37" s="162"/>
      <c r="CN37" s="162"/>
      <c r="CO37" s="162"/>
      <c r="CP37" s="162"/>
      <c r="CQ37" s="162"/>
      <c r="CR37" s="162"/>
      <c r="CS37" s="224"/>
      <c r="CT37" s="196"/>
      <c r="CU37" s="175"/>
      <c r="CV37" s="223">
        <v>6</v>
      </c>
      <c r="CW37" s="162"/>
      <c r="CX37" s="162"/>
      <c r="CY37" s="162"/>
      <c r="CZ37" s="162"/>
      <c r="DA37" s="162"/>
      <c r="DB37" s="162"/>
      <c r="DC37" s="162"/>
      <c r="DD37" s="162"/>
      <c r="DE37" s="162"/>
      <c r="DF37" s="162"/>
      <c r="DG37" s="162"/>
      <c r="DH37" s="225"/>
      <c r="DJ37" s="223">
        <v>6</v>
      </c>
      <c r="DK37" s="162"/>
      <c r="DL37" s="162"/>
      <c r="DM37" s="162"/>
      <c r="DN37" s="162"/>
      <c r="DO37" s="162"/>
      <c r="DP37" s="162"/>
      <c r="DQ37" s="162"/>
      <c r="DR37" s="162"/>
      <c r="DS37" s="162"/>
      <c r="DT37" s="162"/>
      <c r="DU37" s="162"/>
      <c r="DV37" s="225"/>
    </row>
    <row r="38" spans="2:126" ht="27" customHeight="1" x14ac:dyDescent="0.35">
      <c r="B38" s="223">
        <v>7</v>
      </c>
      <c r="C38" s="162"/>
      <c r="D38" s="228"/>
      <c r="E38" s="162"/>
      <c r="F38" s="162"/>
      <c r="G38" s="162"/>
      <c r="H38" s="162"/>
      <c r="I38" s="162"/>
      <c r="J38" s="162"/>
      <c r="K38" s="162"/>
      <c r="L38" s="162"/>
      <c r="M38" s="224"/>
      <c r="N38" s="196"/>
      <c r="P38" s="229"/>
      <c r="Q38" s="195"/>
      <c r="R38" s="195"/>
      <c r="S38" s="243"/>
      <c r="T38" s="195"/>
      <c r="U38" s="195"/>
      <c r="V38" s="195"/>
      <c r="W38" s="195"/>
      <c r="X38" s="195"/>
      <c r="Y38" s="195"/>
      <c r="Z38" s="195"/>
      <c r="AA38" s="195"/>
      <c r="AB38" s="196"/>
      <c r="AC38" s="176"/>
      <c r="AD38" s="229"/>
      <c r="AE38" s="195"/>
      <c r="AF38" s="195"/>
      <c r="AG38" s="243"/>
      <c r="AH38" s="195"/>
      <c r="AI38" s="195"/>
      <c r="AJ38" s="195"/>
      <c r="AK38" s="195"/>
      <c r="AL38" s="195"/>
      <c r="AM38" s="195"/>
      <c r="AN38" s="195"/>
      <c r="AO38" s="195"/>
      <c r="AP38" s="196"/>
      <c r="AR38" s="223">
        <v>7</v>
      </c>
      <c r="AS38" s="161"/>
      <c r="AT38" s="161"/>
      <c r="AU38" s="161"/>
      <c r="AV38" s="161"/>
      <c r="AW38" s="161"/>
      <c r="AX38" s="160"/>
      <c r="AY38" s="161"/>
      <c r="AZ38" s="173"/>
      <c r="BA38" s="224"/>
      <c r="BB38" s="195"/>
      <c r="BC38" s="195"/>
      <c r="BD38" s="196"/>
      <c r="BE38" s="176"/>
      <c r="BF38" s="223">
        <v>7</v>
      </c>
      <c r="BG38" s="162"/>
      <c r="BH38" s="228"/>
      <c r="BI38" s="162"/>
      <c r="BJ38" s="162"/>
      <c r="BK38" s="162"/>
      <c r="BL38" s="162"/>
      <c r="BM38" s="162"/>
      <c r="BN38" s="162"/>
      <c r="BO38" s="224"/>
      <c r="BP38" s="195"/>
      <c r="BQ38" s="195"/>
      <c r="BR38" s="196"/>
      <c r="BT38" s="223">
        <v>7</v>
      </c>
      <c r="BU38" s="162"/>
      <c r="BV38" s="228"/>
      <c r="BW38" s="162"/>
      <c r="BX38" s="162"/>
      <c r="BY38" s="162"/>
      <c r="BZ38" s="162"/>
      <c r="CA38" s="162"/>
      <c r="CB38" s="162"/>
      <c r="CC38" s="162"/>
      <c r="CD38" s="162"/>
      <c r="CE38" s="224"/>
      <c r="CF38" s="196"/>
      <c r="CG38" s="176"/>
      <c r="CH38" s="223">
        <v>7</v>
      </c>
      <c r="CI38" s="162"/>
      <c r="CJ38" s="228"/>
      <c r="CK38" s="162"/>
      <c r="CL38" s="162"/>
      <c r="CM38" s="162"/>
      <c r="CN38" s="162"/>
      <c r="CO38" s="162"/>
      <c r="CP38" s="162"/>
      <c r="CQ38" s="162"/>
      <c r="CR38" s="162"/>
      <c r="CS38" s="224"/>
      <c r="CT38" s="196"/>
      <c r="CU38" s="175"/>
      <c r="CV38" s="223">
        <v>7</v>
      </c>
      <c r="CW38" s="162"/>
      <c r="CX38" s="228"/>
      <c r="CY38" s="162"/>
      <c r="CZ38" s="162"/>
      <c r="DA38" s="162"/>
      <c r="DB38" s="162"/>
      <c r="DC38" s="162"/>
      <c r="DD38" s="162"/>
      <c r="DE38" s="162"/>
      <c r="DF38" s="162"/>
      <c r="DG38" s="162"/>
      <c r="DH38" s="225"/>
      <c r="DJ38" s="223">
        <v>7</v>
      </c>
      <c r="DK38" s="162"/>
      <c r="DL38" s="228"/>
      <c r="DM38" s="162"/>
      <c r="DN38" s="162"/>
      <c r="DO38" s="162"/>
      <c r="DP38" s="162"/>
      <c r="DQ38" s="162"/>
      <c r="DR38" s="162"/>
      <c r="DS38" s="162"/>
      <c r="DT38" s="162"/>
      <c r="DU38" s="162"/>
      <c r="DV38" s="225"/>
    </row>
    <row r="39" spans="2:126" ht="27" customHeight="1" thickBot="1" x14ac:dyDescent="0.4">
      <c r="B39" s="223">
        <v>8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224"/>
      <c r="N39" s="196"/>
      <c r="P39" s="229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6"/>
      <c r="AC39" s="176"/>
      <c r="AD39" s="229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6"/>
      <c r="AR39" s="223">
        <v>8</v>
      </c>
      <c r="AS39" s="156"/>
      <c r="AT39" s="155"/>
      <c r="AU39" s="156"/>
      <c r="AV39" s="156"/>
      <c r="AW39" s="156"/>
      <c r="AX39" s="156"/>
      <c r="AY39" s="156"/>
      <c r="AZ39" s="159"/>
      <c r="BA39" s="224"/>
      <c r="BB39" s="195"/>
      <c r="BC39" s="195"/>
      <c r="BD39" s="196"/>
      <c r="BE39" s="176"/>
      <c r="BF39" s="223">
        <v>8</v>
      </c>
      <c r="BG39" s="162"/>
      <c r="BH39" s="162"/>
      <c r="BI39" s="162"/>
      <c r="BJ39" s="162"/>
      <c r="BK39" s="162"/>
      <c r="BL39" s="162"/>
      <c r="BM39" s="162"/>
      <c r="BN39" s="162"/>
      <c r="BO39" s="224"/>
      <c r="BP39" s="195"/>
      <c r="BQ39" s="195"/>
      <c r="BR39" s="196"/>
      <c r="BT39" s="223">
        <v>8</v>
      </c>
      <c r="BU39" s="162"/>
      <c r="BV39" s="162"/>
      <c r="BW39" s="162"/>
      <c r="BX39" s="162"/>
      <c r="BY39" s="162"/>
      <c r="BZ39" s="162"/>
      <c r="CA39" s="162"/>
      <c r="CB39" s="162"/>
      <c r="CC39" s="162"/>
      <c r="CD39" s="162"/>
      <c r="CE39" s="224"/>
      <c r="CF39" s="196"/>
      <c r="CG39" s="176"/>
      <c r="CH39" s="223">
        <v>8</v>
      </c>
      <c r="CI39" s="162"/>
      <c r="CJ39" s="162"/>
      <c r="CK39" s="162"/>
      <c r="CL39" s="162"/>
      <c r="CM39" s="162"/>
      <c r="CN39" s="162"/>
      <c r="CO39" s="162"/>
      <c r="CP39" s="162"/>
      <c r="CQ39" s="162"/>
      <c r="CR39" s="162"/>
      <c r="CS39" s="224"/>
      <c r="CT39" s="196"/>
      <c r="CU39" s="175"/>
      <c r="CV39" s="223">
        <v>8</v>
      </c>
      <c r="CW39" s="162"/>
      <c r="CX39" s="162"/>
      <c r="CY39" s="162"/>
      <c r="CZ39" s="162"/>
      <c r="DA39" s="162"/>
      <c r="DB39" s="162"/>
      <c r="DC39" s="162"/>
      <c r="DD39" s="162"/>
      <c r="DE39" s="162"/>
      <c r="DF39" s="162"/>
      <c r="DG39" s="162"/>
      <c r="DH39" s="225"/>
      <c r="DJ39" s="223">
        <v>8</v>
      </c>
      <c r="DK39" s="162"/>
      <c r="DL39" s="162"/>
      <c r="DM39" s="162"/>
      <c r="DN39" s="162"/>
      <c r="DO39" s="162"/>
      <c r="DP39" s="162"/>
      <c r="DQ39" s="162"/>
      <c r="DR39" s="162"/>
      <c r="DS39" s="162"/>
      <c r="DT39" s="162"/>
      <c r="DU39" s="162"/>
      <c r="DV39" s="225"/>
    </row>
    <row r="40" spans="2:126" ht="27" customHeight="1" x14ac:dyDescent="0.35">
      <c r="B40" s="223">
        <v>9</v>
      </c>
      <c r="C40" s="162"/>
      <c r="D40" s="228"/>
      <c r="E40" s="162"/>
      <c r="F40" s="162"/>
      <c r="G40" s="162"/>
      <c r="H40" s="162"/>
      <c r="I40" s="162"/>
      <c r="J40" s="162"/>
      <c r="K40" s="162"/>
      <c r="L40" s="162"/>
      <c r="M40" s="224"/>
      <c r="N40" s="196"/>
      <c r="P40" s="229"/>
      <c r="Q40" s="195"/>
      <c r="R40" s="195"/>
      <c r="S40" s="243"/>
      <c r="T40" s="195"/>
      <c r="U40" s="195"/>
      <c r="V40" s="195"/>
      <c r="W40" s="195"/>
      <c r="X40" s="195"/>
      <c r="Y40" s="195"/>
      <c r="Z40" s="195"/>
      <c r="AA40" s="195"/>
      <c r="AB40" s="196"/>
      <c r="AC40" s="176"/>
      <c r="AD40" s="229"/>
      <c r="AE40" s="195"/>
      <c r="AF40" s="195"/>
      <c r="AG40" s="243"/>
      <c r="AH40" s="195"/>
      <c r="AI40" s="195"/>
      <c r="AJ40" s="195"/>
      <c r="AK40" s="195"/>
      <c r="AL40" s="195"/>
      <c r="AM40" s="195"/>
      <c r="AN40" s="195"/>
      <c r="AO40" s="195"/>
      <c r="AP40" s="196"/>
      <c r="AR40" s="229"/>
      <c r="AS40" s="195"/>
      <c r="AT40" s="195"/>
      <c r="AU40" s="243"/>
      <c r="AV40" s="195"/>
      <c r="AW40" s="195"/>
      <c r="AX40" s="195"/>
      <c r="AY40" s="195"/>
      <c r="AZ40" s="195"/>
      <c r="BA40" s="195"/>
      <c r="BB40" s="195"/>
      <c r="BC40" s="195"/>
      <c r="BD40" s="196"/>
      <c r="BE40" s="176"/>
      <c r="BF40" s="229"/>
      <c r="BG40" s="195"/>
      <c r="BH40" s="195"/>
      <c r="BI40" s="243"/>
      <c r="BJ40" s="195"/>
      <c r="BK40" s="195"/>
      <c r="BL40" s="195"/>
      <c r="BM40" s="195"/>
      <c r="BN40" s="195"/>
      <c r="BO40" s="195"/>
      <c r="BP40" s="195"/>
      <c r="BQ40" s="195"/>
      <c r="BR40" s="196"/>
      <c r="BT40" s="223">
        <v>9</v>
      </c>
      <c r="BU40" s="162"/>
      <c r="BV40" s="228"/>
      <c r="BW40" s="162"/>
      <c r="BX40" s="162"/>
      <c r="BY40" s="162"/>
      <c r="BZ40" s="162"/>
      <c r="CA40" s="162"/>
      <c r="CB40" s="162"/>
      <c r="CC40" s="162"/>
      <c r="CD40" s="162"/>
      <c r="CE40" s="224"/>
      <c r="CF40" s="196"/>
      <c r="CG40" s="176"/>
      <c r="CH40" s="223">
        <v>9</v>
      </c>
      <c r="CI40" s="162"/>
      <c r="CJ40" s="228"/>
      <c r="CK40" s="162"/>
      <c r="CL40" s="162"/>
      <c r="CM40" s="162"/>
      <c r="CN40" s="162"/>
      <c r="CO40" s="162"/>
      <c r="CP40" s="162"/>
      <c r="CQ40" s="162"/>
      <c r="CR40" s="162"/>
      <c r="CS40" s="224"/>
      <c r="CT40" s="196"/>
      <c r="CU40" s="175"/>
      <c r="CV40" s="223">
        <v>9</v>
      </c>
      <c r="CW40" s="162"/>
      <c r="CX40" s="228"/>
      <c r="CY40" s="162"/>
      <c r="CZ40" s="162"/>
      <c r="DA40" s="162"/>
      <c r="DB40" s="162"/>
      <c r="DC40" s="162"/>
      <c r="DD40" s="162"/>
      <c r="DE40" s="162"/>
      <c r="DF40" s="162"/>
      <c r="DG40" s="162"/>
      <c r="DH40" s="225"/>
      <c r="DJ40" s="223">
        <v>9</v>
      </c>
      <c r="DK40" s="162"/>
      <c r="DL40" s="228"/>
      <c r="DM40" s="162"/>
      <c r="DN40" s="162"/>
      <c r="DO40" s="162"/>
      <c r="DP40" s="162"/>
      <c r="DQ40" s="162"/>
      <c r="DR40" s="162"/>
      <c r="DS40" s="162"/>
      <c r="DT40" s="162"/>
      <c r="DU40" s="162"/>
      <c r="DV40" s="225"/>
    </row>
    <row r="41" spans="2:126" ht="27" customHeight="1" thickBot="1" x14ac:dyDescent="0.4">
      <c r="B41" s="230">
        <v>10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24"/>
      <c r="N41" s="204"/>
      <c r="P41" s="231">
        <v>11</v>
      </c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4"/>
      <c r="AC41" s="176"/>
      <c r="AD41" s="231">
        <v>11</v>
      </c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4"/>
      <c r="AR41" s="231">
        <v>11</v>
      </c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4"/>
      <c r="BE41" s="176"/>
      <c r="BF41" s="231">
        <v>11</v>
      </c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4"/>
      <c r="BT41" s="230">
        <v>10</v>
      </c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  <c r="CE41" s="224"/>
      <c r="CF41" s="204"/>
      <c r="CG41" s="176"/>
      <c r="CH41" s="230">
        <v>10</v>
      </c>
      <c r="CI41" s="213"/>
      <c r="CJ41" s="213"/>
      <c r="CK41" s="213"/>
      <c r="CL41" s="213"/>
      <c r="CM41" s="213"/>
      <c r="CN41" s="213"/>
      <c r="CO41" s="213"/>
      <c r="CP41" s="213"/>
      <c r="CQ41" s="213"/>
      <c r="CR41" s="213"/>
      <c r="CS41" s="224"/>
      <c r="CT41" s="204"/>
      <c r="CU41" s="175"/>
      <c r="CV41" s="223">
        <v>10</v>
      </c>
      <c r="CW41" s="162"/>
      <c r="CX41" s="162"/>
      <c r="CY41" s="162"/>
      <c r="CZ41" s="162"/>
      <c r="DA41" s="162"/>
      <c r="DB41" s="162"/>
      <c r="DC41" s="162"/>
      <c r="DD41" s="162"/>
      <c r="DE41" s="162"/>
      <c r="DF41" s="162"/>
      <c r="DG41" s="162"/>
      <c r="DH41" s="225"/>
      <c r="DJ41" s="223">
        <v>10</v>
      </c>
      <c r="DK41" s="162"/>
      <c r="DL41" s="162"/>
      <c r="DM41" s="162"/>
      <c r="DN41" s="162"/>
      <c r="DO41" s="162"/>
      <c r="DP41" s="162"/>
      <c r="DQ41" s="162"/>
      <c r="DR41" s="162"/>
      <c r="DS41" s="162"/>
      <c r="DT41" s="162"/>
      <c r="DU41" s="162"/>
      <c r="DV41" s="225"/>
    </row>
    <row r="42" spans="2:126" ht="27" customHeight="1" thickBot="1" x14ac:dyDescent="0.4">
      <c r="B42" s="24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45"/>
      <c r="P42" s="24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45"/>
      <c r="AC42" s="176"/>
      <c r="AD42" s="232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4"/>
      <c r="AQ42" s="176"/>
      <c r="AR42" s="232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4"/>
      <c r="BE42" s="176"/>
      <c r="BF42" s="23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236"/>
      <c r="BS42" s="176"/>
      <c r="BT42" s="23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236"/>
      <c r="CG42" s="176"/>
      <c r="CH42" s="23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236"/>
      <c r="CV42" s="223">
        <v>11</v>
      </c>
      <c r="CW42" s="162"/>
      <c r="CX42" s="228"/>
      <c r="CY42" s="162"/>
      <c r="CZ42" s="162"/>
      <c r="DA42" s="162"/>
      <c r="DB42" s="162"/>
      <c r="DC42" s="162"/>
      <c r="DD42" s="162"/>
      <c r="DE42" s="162"/>
      <c r="DF42" s="162"/>
      <c r="DG42" s="162"/>
      <c r="DH42" s="225"/>
      <c r="DJ42" s="223">
        <v>11</v>
      </c>
      <c r="DK42" s="162"/>
      <c r="DL42" s="228"/>
      <c r="DM42" s="162"/>
      <c r="DN42" s="162"/>
      <c r="DO42" s="162"/>
      <c r="DP42" s="162"/>
      <c r="DQ42" s="162"/>
      <c r="DR42" s="162"/>
      <c r="DS42" s="162"/>
      <c r="DT42" s="162"/>
      <c r="DU42" s="162"/>
      <c r="DV42" s="225"/>
    </row>
    <row r="43" spans="2:126" ht="27" customHeight="1" thickBot="1" x14ac:dyDescent="0.4">
      <c r="B43" s="246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8"/>
      <c r="P43" s="246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8"/>
      <c r="AD43" s="23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236"/>
      <c r="AQ43" s="176"/>
      <c r="AR43" s="23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236"/>
      <c r="BE43" s="176"/>
      <c r="BF43" s="23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236"/>
      <c r="BS43" s="176"/>
      <c r="BT43" s="23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236"/>
      <c r="CG43" s="176"/>
      <c r="CH43" s="23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236"/>
      <c r="CV43" s="230">
        <v>12</v>
      </c>
      <c r="CW43" s="213"/>
      <c r="CX43" s="213"/>
      <c r="CY43" s="213"/>
      <c r="CZ43" s="213"/>
      <c r="DA43" s="213"/>
      <c r="DB43" s="213"/>
      <c r="DC43" s="213"/>
      <c r="DD43" s="213"/>
      <c r="DE43" s="213"/>
      <c r="DF43" s="213"/>
      <c r="DG43" s="213"/>
      <c r="DH43" s="214"/>
      <c r="DJ43" s="230">
        <v>12</v>
      </c>
      <c r="DK43" s="213"/>
      <c r="DL43" s="213"/>
      <c r="DM43" s="213"/>
      <c r="DN43" s="213"/>
      <c r="DO43" s="213"/>
      <c r="DP43" s="213"/>
      <c r="DQ43" s="213"/>
      <c r="DR43" s="213"/>
      <c r="DS43" s="213"/>
      <c r="DT43" s="213"/>
      <c r="DU43" s="213"/>
      <c r="DV43" s="214"/>
    </row>
    <row r="44" spans="2:126" ht="27" customHeight="1" x14ac:dyDescent="0.35"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  <c r="BD44" s="250"/>
      <c r="BE44" s="176"/>
      <c r="BH44" s="176"/>
      <c r="BI44" s="176"/>
      <c r="BJ44" s="176"/>
      <c r="BK44" s="176"/>
      <c r="BL44" s="176"/>
      <c r="BM44" s="176"/>
      <c r="BN44" s="176"/>
      <c r="BO44" s="176"/>
      <c r="BP44" s="176"/>
      <c r="BQ44" s="176"/>
      <c r="BR44" s="176"/>
      <c r="BS44" s="176"/>
      <c r="BT44" s="176"/>
      <c r="BU44" s="176"/>
      <c r="BV44" s="176"/>
      <c r="BW44" s="176"/>
      <c r="BX44" s="176"/>
      <c r="BY44" s="176"/>
      <c r="BZ44" s="176"/>
      <c r="CA44" s="176"/>
      <c r="CB44" s="176"/>
      <c r="CC44" s="176"/>
      <c r="CD44" s="176"/>
      <c r="CE44" s="176"/>
      <c r="CF44" s="176"/>
      <c r="CG44" s="176"/>
    </row>
    <row r="45" spans="2:126" ht="27" customHeight="1" x14ac:dyDescent="0.35"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</row>
  </sheetData>
  <mergeCells count="87">
    <mergeCell ref="DR6:DV6"/>
    <mergeCell ref="DR7:DV7"/>
    <mergeCell ref="DR26:DV26"/>
    <mergeCell ref="DR27:DV27"/>
    <mergeCell ref="DR28:DV28"/>
    <mergeCell ref="CP26:CT26"/>
    <mergeCell ref="CP27:CT27"/>
    <mergeCell ref="CP28:CT28"/>
    <mergeCell ref="DD5:DH5"/>
    <mergeCell ref="DD6:DH6"/>
    <mergeCell ref="DD7:DH7"/>
    <mergeCell ref="DD26:DH26"/>
    <mergeCell ref="DD27:DH27"/>
    <mergeCell ref="DD28:DH28"/>
    <mergeCell ref="BN28:BR28"/>
    <mergeCell ref="CB5:CF5"/>
    <mergeCell ref="CB6:CF6"/>
    <mergeCell ref="CB7:CF7"/>
    <mergeCell ref="CB26:CF26"/>
    <mergeCell ref="CB27:CF27"/>
    <mergeCell ref="CB28:CF28"/>
    <mergeCell ref="BN5:BR5"/>
    <mergeCell ref="BN6:BR6"/>
    <mergeCell ref="BN7:BR7"/>
    <mergeCell ref="BN26:BR26"/>
    <mergeCell ref="BN27:BR27"/>
    <mergeCell ref="AZ26:BD26"/>
    <mergeCell ref="AZ27:BD27"/>
    <mergeCell ref="AZ28:BD28"/>
    <mergeCell ref="X5:AB5"/>
    <mergeCell ref="X6:AB6"/>
    <mergeCell ref="X7:AB7"/>
    <mergeCell ref="X26:AB26"/>
    <mergeCell ref="X27:AB27"/>
    <mergeCell ref="X28:AB28"/>
    <mergeCell ref="AL26:AP26"/>
    <mergeCell ref="AL27:AP27"/>
    <mergeCell ref="AL28:AP28"/>
    <mergeCell ref="AL5:AP5"/>
    <mergeCell ref="AL6:AP6"/>
    <mergeCell ref="AL7:AP7"/>
    <mergeCell ref="DD4:DH4"/>
    <mergeCell ref="DD25:DH25"/>
    <mergeCell ref="DR25:DV25"/>
    <mergeCell ref="DR4:DV4"/>
    <mergeCell ref="CB25:CF25"/>
    <mergeCell ref="CP25:CT25"/>
    <mergeCell ref="CP5:CT5"/>
    <mergeCell ref="CP6:CT6"/>
    <mergeCell ref="CP7:CT7"/>
    <mergeCell ref="DR5:DV5"/>
    <mergeCell ref="CV24:DH24"/>
    <mergeCell ref="DJ24:DV24"/>
    <mergeCell ref="CB4:CF4"/>
    <mergeCell ref="CP4:CT4"/>
    <mergeCell ref="CH24:CT24"/>
    <mergeCell ref="BT24:CF24"/>
    <mergeCell ref="X4:AB4"/>
    <mergeCell ref="AL4:AP4"/>
    <mergeCell ref="X25:AB25"/>
    <mergeCell ref="AL25:AP25"/>
    <mergeCell ref="BN25:BR25"/>
    <mergeCell ref="BN4:BR4"/>
    <mergeCell ref="AZ25:BD25"/>
    <mergeCell ref="B24:N24"/>
    <mergeCell ref="B2:N2"/>
    <mergeCell ref="AZ4:BD4"/>
    <mergeCell ref="AZ5:BD5"/>
    <mergeCell ref="AZ6:BD6"/>
    <mergeCell ref="AZ7:BD7"/>
    <mergeCell ref="P2:AP2"/>
    <mergeCell ref="AR2:BR2"/>
    <mergeCell ref="P3:AB3"/>
    <mergeCell ref="AD3:AP3"/>
    <mergeCell ref="AR3:BD3"/>
    <mergeCell ref="BF3:BR3"/>
    <mergeCell ref="P24:AB24"/>
    <mergeCell ref="AD24:AP24"/>
    <mergeCell ref="AR24:BD24"/>
    <mergeCell ref="BF24:BR24"/>
    <mergeCell ref="BT2:CT2"/>
    <mergeCell ref="BT3:CF3"/>
    <mergeCell ref="CH3:CT3"/>
    <mergeCell ref="B3:N3"/>
    <mergeCell ref="CV2:DV2"/>
    <mergeCell ref="CV3:DH3"/>
    <mergeCell ref="DJ3:DV3"/>
  </mergeCells>
  <phoneticPr fontId="3" type="noConversion"/>
  <pageMargins left="0.7" right="0.7" top="0.75" bottom="0.75" header="0.3" footer="0.3"/>
  <pageSetup paperSize="176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66D-0798-4A53-BEED-6015BF323E88}">
  <dimension ref="B2:CO35"/>
  <sheetViews>
    <sheetView tabSelected="1" topLeftCell="BH19" zoomScaleNormal="100" workbookViewId="0">
      <selection activeCell="DB3" sqref="DB3"/>
    </sheetView>
  </sheetViews>
  <sheetFormatPr defaultColWidth="3.42578125" defaultRowHeight="18" customHeight="1" x14ac:dyDescent="0.25"/>
  <sheetData>
    <row r="2" spans="2:93" ht="18" customHeight="1" thickBot="1" x14ac:dyDescent="0.3"/>
    <row r="3" spans="2:93" ht="18" customHeight="1" thickBot="1" x14ac:dyDescent="0.3">
      <c r="B3" s="339" t="s">
        <v>37</v>
      </c>
      <c r="C3" s="340"/>
      <c r="D3" s="340"/>
      <c r="E3" s="340"/>
      <c r="F3" s="340"/>
      <c r="G3" s="340"/>
      <c r="H3" s="340"/>
      <c r="I3" s="340"/>
      <c r="J3" s="341"/>
    </row>
    <row r="4" spans="2:93" ht="18" customHeight="1" x14ac:dyDescent="0.25">
      <c r="B4" s="86" t="s">
        <v>0</v>
      </c>
      <c r="C4" s="87" t="s">
        <v>1</v>
      </c>
      <c r="D4" s="87" t="s">
        <v>2</v>
      </c>
      <c r="E4" s="87" t="s">
        <v>3</v>
      </c>
      <c r="F4" s="87" t="s">
        <v>4</v>
      </c>
      <c r="G4" s="87" t="s">
        <v>5</v>
      </c>
      <c r="H4" s="87" t="s">
        <v>6</v>
      </c>
      <c r="I4" s="87" t="s">
        <v>7</v>
      </c>
      <c r="J4" s="88" t="s">
        <v>8</v>
      </c>
      <c r="BH4" t="s">
        <v>40</v>
      </c>
    </row>
    <row r="5" spans="2:93" ht="18" customHeight="1" thickBot="1" x14ac:dyDescent="0.3">
      <c r="B5" s="89" t="s">
        <v>9</v>
      </c>
      <c r="C5" s="57" t="s">
        <v>10</v>
      </c>
      <c r="D5" s="57" t="s">
        <v>11</v>
      </c>
      <c r="E5" s="57" t="s">
        <v>12</v>
      </c>
      <c r="F5" s="57" t="s">
        <v>13</v>
      </c>
      <c r="G5" s="57" t="s">
        <v>14</v>
      </c>
      <c r="H5" s="57" t="s">
        <v>15</v>
      </c>
      <c r="I5" s="57" t="s">
        <v>16</v>
      </c>
      <c r="J5" s="96" t="s">
        <v>17</v>
      </c>
    </row>
    <row r="6" spans="2:93" ht="18" customHeight="1" thickBot="1" x14ac:dyDescent="0.3">
      <c r="B6" s="90" t="s">
        <v>18</v>
      </c>
      <c r="C6" s="91" t="s">
        <v>19</v>
      </c>
      <c r="D6" s="91" t="s">
        <v>20</v>
      </c>
      <c r="E6" s="91" t="s">
        <v>21</v>
      </c>
      <c r="F6" s="91" t="s">
        <v>22</v>
      </c>
      <c r="G6" s="91" t="s">
        <v>23</v>
      </c>
      <c r="H6" s="91" t="s">
        <v>24</v>
      </c>
      <c r="I6" s="91" t="s">
        <v>25</v>
      </c>
      <c r="J6" s="92"/>
      <c r="CC6" s="408" t="s">
        <v>37</v>
      </c>
      <c r="CD6" s="409"/>
      <c r="CE6" s="409"/>
      <c r="CF6" s="409"/>
      <c r="CG6" s="409"/>
      <c r="CH6" s="409"/>
      <c r="CI6" s="409"/>
      <c r="CJ6" s="409"/>
      <c r="CK6" s="409"/>
      <c r="CL6" s="409"/>
      <c r="CM6" s="409"/>
      <c r="CN6" s="409"/>
      <c r="CO6" s="410"/>
    </row>
    <row r="7" spans="2:93" ht="18" customHeight="1" thickBot="1" x14ac:dyDescent="0.3">
      <c r="B7" s="98">
        <v>1</v>
      </c>
      <c r="C7" s="105" t="s">
        <v>2</v>
      </c>
      <c r="D7" s="105" t="s">
        <v>0</v>
      </c>
      <c r="E7" s="105" t="s">
        <v>19</v>
      </c>
      <c r="F7" s="99"/>
      <c r="G7" s="99"/>
      <c r="H7" s="99"/>
      <c r="I7" s="99"/>
      <c r="J7" s="100"/>
      <c r="CC7" s="348" t="s">
        <v>98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  <c r="CN7" s="349"/>
      <c r="CO7" s="350"/>
    </row>
    <row r="8" spans="2:93" ht="18" customHeight="1" thickBot="1" x14ac:dyDescent="0.3">
      <c r="B8" s="101">
        <v>2</v>
      </c>
      <c r="C8" s="106" t="s">
        <v>12</v>
      </c>
      <c r="D8" s="106" t="s">
        <v>14</v>
      </c>
      <c r="E8" s="106" t="s">
        <v>0</v>
      </c>
      <c r="F8" s="106" t="s">
        <v>19</v>
      </c>
      <c r="G8" s="102"/>
      <c r="H8" s="102"/>
      <c r="I8" s="102"/>
      <c r="J8" s="103"/>
      <c r="CC8" s="345" t="s">
        <v>105</v>
      </c>
      <c r="CD8" s="346"/>
      <c r="CE8" s="346"/>
      <c r="CF8" s="346"/>
      <c r="CG8" s="346"/>
      <c r="CH8" s="346"/>
      <c r="CI8" s="346"/>
      <c r="CJ8" s="346"/>
      <c r="CK8" s="346"/>
      <c r="CL8" s="346"/>
      <c r="CM8" s="346"/>
      <c r="CN8" s="346"/>
      <c r="CO8" s="347"/>
    </row>
    <row r="9" spans="2:93" ht="18" customHeight="1" thickBot="1" x14ac:dyDescent="0.3">
      <c r="B9" s="101">
        <v>3</v>
      </c>
      <c r="C9" s="102" t="s">
        <v>27</v>
      </c>
      <c r="D9" s="102" t="s">
        <v>27</v>
      </c>
      <c r="E9" s="102" t="s">
        <v>27</v>
      </c>
      <c r="F9" s="102" t="s">
        <v>27</v>
      </c>
      <c r="G9" s="102" t="s">
        <v>27</v>
      </c>
      <c r="H9" s="102"/>
      <c r="I9" s="102"/>
      <c r="J9" s="103"/>
      <c r="CC9" s="345" t="s">
        <v>94</v>
      </c>
      <c r="CD9" s="346"/>
      <c r="CE9" s="346"/>
      <c r="CF9" s="346"/>
      <c r="CG9" s="346"/>
      <c r="CH9" s="346"/>
      <c r="CI9" s="346"/>
      <c r="CJ9" s="346"/>
      <c r="CK9" s="346"/>
      <c r="CL9" s="346"/>
      <c r="CM9" s="346"/>
      <c r="CN9" s="346"/>
      <c r="CO9" s="347"/>
    </row>
    <row r="10" spans="2:93" ht="18" customHeight="1" thickBot="1" x14ac:dyDescent="0.3">
      <c r="B10" s="76"/>
      <c r="C10" s="50" t="s">
        <v>0</v>
      </c>
      <c r="D10" s="50" t="s">
        <v>1</v>
      </c>
      <c r="E10" s="50" t="s">
        <v>2</v>
      </c>
      <c r="F10" s="50" t="s">
        <v>3</v>
      </c>
      <c r="G10" s="50" t="s">
        <v>4</v>
      </c>
      <c r="H10" s="50" t="s">
        <v>5</v>
      </c>
      <c r="I10" s="50" t="s">
        <v>6</v>
      </c>
      <c r="J10" s="51" t="s">
        <v>7</v>
      </c>
      <c r="CC10" s="413" t="s">
        <v>95</v>
      </c>
      <c r="CD10" s="414"/>
      <c r="CE10" s="414"/>
      <c r="CF10" s="414"/>
      <c r="CG10" s="414"/>
      <c r="CH10" s="414"/>
      <c r="CI10" s="414"/>
      <c r="CJ10" s="414"/>
      <c r="CK10" s="414"/>
      <c r="CL10" s="414"/>
      <c r="CM10" s="414"/>
      <c r="CN10" s="414"/>
      <c r="CO10" s="415"/>
    </row>
    <row r="11" spans="2:93" ht="18" customHeight="1" x14ac:dyDescent="0.25">
      <c r="B11" s="53">
        <v>1</v>
      </c>
      <c r="C11" s="57"/>
      <c r="D11" s="107"/>
      <c r="E11" s="57"/>
      <c r="F11" s="57"/>
      <c r="G11" s="57"/>
      <c r="H11" s="57"/>
      <c r="I11" s="57"/>
      <c r="J11" s="96"/>
      <c r="CC11" s="271" t="s">
        <v>0</v>
      </c>
      <c r="CD11" s="272" t="s">
        <v>1</v>
      </c>
      <c r="CE11" s="272" t="s">
        <v>2</v>
      </c>
      <c r="CF11" s="272" t="s">
        <v>3</v>
      </c>
      <c r="CG11" s="272" t="s">
        <v>4</v>
      </c>
      <c r="CH11" s="272" t="s">
        <v>5</v>
      </c>
      <c r="CI11" s="272" t="s">
        <v>6</v>
      </c>
      <c r="CJ11" s="272" t="s">
        <v>7</v>
      </c>
      <c r="CK11" s="272" t="s">
        <v>8</v>
      </c>
      <c r="CL11" s="272" t="s">
        <v>9</v>
      </c>
      <c r="CM11" s="272" t="s">
        <v>10</v>
      </c>
      <c r="CN11" s="272" t="s">
        <v>11</v>
      </c>
      <c r="CO11" s="273" t="s">
        <v>12</v>
      </c>
    </row>
    <row r="12" spans="2:93" ht="18" customHeight="1" thickBot="1" x14ac:dyDescent="0.3">
      <c r="B12" s="53">
        <v>2</v>
      </c>
      <c r="C12" s="57"/>
      <c r="D12" s="57"/>
      <c r="E12" s="57"/>
      <c r="F12" s="57"/>
      <c r="G12" s="57"/>
      <c r="H12" s="57"/>
      <c r="I12" s="57"/>
      <c r="J12" s="96"/>
      <c r="CC12" s="274" t="s">
        <v>13</v>
      </c>
      <c r="CD12" s="275" t="s">
        <v>14</v>
      </c>
      <c r="CE12" s="275" t="s">
        <v>15</v>
      </c>
      <c r="CF12" s="275" t="s">
        <v>16</v>
      </c>
      <c r="CG12" s="275" t="s">
        <v>17</v>
      </c>
      <c r="CH12" s="275" t="s">
        <v>18</v>
      </c>
      <c r="CI12" s="275" t="s">
        <v>19</v>
      </c>
      <c r="CJ12" s="275" t="s">
        <v>20</v>
      </c>
      <c r="CK12" s="275" t="s">
        <v>21</v>
      </c>
      <c r="CL12" s="275" t="s">
        <v>22</v>
      </c>
      <c r="CM12" s="275" t="s">
        <v>23</v>
      </c>
      <c r="CN12" s="275" t="s">
        <v>24</v>
      </c>
      <c r="CO12" s="276" t="s">
        <v>25</v>
      </c>
    </row>
    <row r="13" spans="2:93" ht="18" customHeight="1" x14ac:dyDescent="0.25">
      <c r="B13" s="53">
        <v>3</v>
      </c>
      <c r="C13" s="57"/>
      <c r="D13" s="57"/>
      <c r="E13" s="57"/>
      <c r="F13" s="57"/>
      <c r="G13" s="57"/>
      <c r="H13" s="57"/>
      <c r="I13" s="57"/>
      <c r="J13" s="96"/>
      <c r="CC13" s="268"/>
      <c r="CD13" s="269" t="s">
        <v>0</v>
      </c>
      <c r="CE13" s="269" t="s">
        <v>1</v>
      </c>
      <c r="CF13" s="269" t="s">
        <v>2</v>
      </c>
      <c r="CG13" s="269" t="s">
        <v>3</v>
      </c>
      <c r="CH13" s="269" t="s">
        <v>4</v>
      </c>
      <c r="CI13" s="269" t="s">
        <v>5</v>
      </c>
      <c r="CJ13" s="269" t="s">
        <v>6</v>
      </c>
      <c r="CK13" s="269" t="s">
        <v>7</v>
      </c>
      <c r="CL13" s="183" t="s">
        <v>8</v>
      </c>
      <c r="CM13" s="183" t="s">
        <v>9</v>
      </c>
      <c r="CN13" s="183" t="s">
        <v>10</v>
      </c>
      <c r="CO13" s="270" t="s">
        <v>11</v>
      </c>
    </row>
    <row r="14" spans="2:93" ht="18" customHeight="1" x14ac:dyDescent="0.25">
      <c r="B14" s="53">
        <v>4</v>
      </c>
      <c r="C14" s="57"/>
      <c r="D14" s="57"/>
      <c r="E14" s="57"/>
      <c r="F14" s="57"/>
      <c r="G14" s="57"/>
      <c r="H14" s="57"/>
      <c r="I14" s="57"/>
      <c r="J14" s="96"/>
      <c r="CC14" s="262">
        <v>1</v>
      </c>
      <c r="CD14" s="162"/>
      <c r="CE14" s="162"/>
      <c r="CF14" s="162"/>
      <c r="CG14" s="162"/>
      <c r="CH14" s="162"/>
      <c r="CI14" s="162"/>
      <c r="CJ14" s="162"/>
      <c r="CK14" s="162"/>
      <c r="CL14" s="195"/>
      <c r="CM14" s="195"/>
      <c r="CN14" s="195"/>
      <c r="CO14" s="263"/>
    </row>
    <row r="15" spans="2:93" ht="18" customHeight="1" x14ac:dyDescent="0.25">
      <c r="B15" s="53">
        <v>5</v>
      </c>
      <c r="C15" s="57"/>
      <c r="D15" s="57"/>
      <c r="E15" s="57"/>
      <c r="F15" s="57"/>
      <c r="G15" s="57"/>
      <c r="H15" s="57"/>
      <c r="I15" s="57"/>
      <c r="J15" s="96"/>
      <c r="CC15" s="262">
        <v>2</v>
      </c>
      <c r="CD15" s="162"/>
      <c r="CE15" s="162"/>
      <c r="CF15" s="162"/>
      <c r="CG15" s="162"/>
      <c r="CH15" s="162"/>
      <c r="CI15" s="162"/>
      <c r="CJ15" s="162"/>
      <c r="CK15" s="162"/>
      <c r="CL15" s="195"/>
      <c r="CM15" s="195"/>
      <c r="CN15" s="195"/>
      <c r="CO15" s="263"/>
    </row>
    <row r="16" spans="2:93" ht="18" customHeight="1" x14ac:dyDescent="0.25">
      <c r="B16" s="53">
        <v>6</v>
      </c>
      <c r="C16" s="57"/>
      <c r="D16" s="57"/>
      <c r="E16" s="57"/>
      <c r="F16" s="57"/>
      <c r="G16" s="57"/>
      <c r="H16" s="57"/>
      <c r="I16" s="57"/>
      <c r="J16" s="96"/>
      <c r="CC16" s="262">
        <v>3</v>
      </c>
      <c r="CD16" s="162"/>
      <c r="CE16" s="162"/>
      <c r="CF16" s="162"/>
      <c r="CG16" s="162"/>
      <c r="CH16" s="162"/>
      <c r="CI16" s="162"/>
      <c r="CJ16" s="162"/>
      <c r="CK16" s="162"/>
      <c r="CL16" s="195"/>
      <c r="CM16" s="195"/>
      <c r="CN16" s="195"/>
      <c r="CO16" s="263"/>
    </row>
    <row r="17" spans="2:93" ht="18" customHeight="1" x14ac:dyDescent="0.25">
      <c r="B17" s="53">
        <v>7</v>
      </c>
      <c r="C17" s="57"/>
      <c r="D17" s="108" t="s">
        <v>2</v>
      </c>
      <c r="E17" s="108" t="s">
        <v>0</v>
      </c>
      <c r="F17" s="108" t="s">
        <v>19</v>
      </c>
      <c r="G17" s="57"/>
      <c r="H17" s="57"/>
      <c r="I17" s="57"/>
      <c r="J17" s="96"/>
      <c r="CC17" s="262">
        <v>4</v>
      </c>
      <c r="CD17" s="162"/>
      <c r="CE17" s="162" t="s">
        <v>2</v>
      </c>
      <c r="CF17" s="162"/>
      <c r="CG17" s="162"/>
      <c r="CH17" s="162"/>
      <c r="CI17" s="162"/>
      <c r="CJ17" s="162"/>
      <c r="CK17" s="162"/>
      <c r="CL17" s="195"/>
      <c r="CM17" s="195"/>
      <c r="CN17" s="195"/>
      <c r="CO17" s="263"/>
    </row>
    <row r="18" spans="2:93" ht="18" customHeight="1" thickBot="1" x14ac:dyDescent="0.3">
      <c r="B18" s="60">
        <v>8</v>
      </c>
      <c r="C18" s="57"/>
      <c r="D18" s="57"/>
      <c r="E18" s="57"/>
      <c r="F18" s="91"/>
      <c r="G18" s="91"/>
      <c r="H18" s="91"/>
      <c r="I18" s="91"/>
      <c r="J18" s="97"/>
      <c r="CC18" s="262">
        <v>5</v>
      </c>
      <c r="CD18" s="162"/>
      <c r="CE18" s="228"/>
      <c r="CF18" s="162" t="s">
        <v>0</v>
      </c>
      <c r="CG18" s="162"/>
      <c r="CH18" s="162"/>
      <c r="CI18" s="162"/>
      <c r="CJ18" s="162"/>
      <c r="CK18" s="162"/>
      <c r="CL18" s="195"/>
      <c r="CM18" s="195"/>
      <c r="CN18" s="195"/>
      <c r="CO18" s="263"/>
    </row>
    <row r="19" spans="2:93" ht="18" customHeight="1" thickBot="1" x14ac:dyDescent="0.3">
      <c r="B19" s="46"/>
      <c r="C19" s="46"/>
      <c r="D19" s="46"/>
      <c r="E19" s="46"/>
      <c r="F19" s="46"/>
      <c r="G19" s="46"/>
      <c r="H19" s="46"/>
      <c r="I19" s="46"/>
      <c r="J19" s="46"/>
      <c r="CC19" s="262">
        <v>6</v>
      </c>
      <c r="CD19" s="162"/>
      <c r="CE19" s="162"/>
      <c r="CF19" s="162"/>
      <c r="CG19" s="162" t="s">
        <v>19</v>
      </c>
      <c r="CH19" s="162"/>
      <c r="CI19" s="162"/>
      <c r="CJ19" s="162"/>
      <c r="CK19" s="162"/>
      <c r="CL19" s="195"/>
      <c r="CM19" s="195"/>
      <c r="CN19" s="195"/>
      <c r="CO19" s="263"/>
    </row>
    <row r="20" spans="2:93" ht="18" customHeight="1" thickBot="1" x14ac:dyDescent="0.3">
      <c r="B20" s="339" t="s">
        <v>38</v>
      </c>
      <c r="C20" s="340"/>
      <c r="D20" s="340"/>
      <c r="E20" s="340"/>
      <c r="F20" s="340"/>
      <c r="G20" s="340"/>
      <c r="H20" s="340"/>
      <c r="I20" s="340"/>
      <c r="J20" s="341"/>
      <c r="CC20" s="262">
        <v>7</v>
      </c>
      <c r="CD20" s="162"/>
      <c r="CE20" s="228"/>
      <c r="CF20" s="162"/>
      <c r="CG20" s="162"/>
      <c r="CH20" s="162"/>
      <c r="CI20" s="162"/>
      <c r="CJ20" s="162"/>
      <c r="CK20" s="162"/>
      <c r="CL20" s="195"/>
      <c r="CM20" s="195"/>
      <c r="CN20" s="195"/>
      <c r="CO20" s="263"/>
    </row>
    <row r="21" spans="2:93" ht="18" customHeight="1" x14ac:dyDescent="0.25">
      <c r="B21" s="86" t="s">
        <v>0</v>
      </c>
      <c r="C21" s="87" t="s">
        <v>1</v>
      </c>
      <c r="D21" s="87" t="s">
        <v>2</v>
      </c>
      <c r="E21" s="87" t="s">
        <v>3</v>
      </c>
      <c r="F21" s="87" t="s">
        <v>4</v>
      </c>
      <c r="G21" s="87" t="s">
        <v>5</v>
      </c>
      <c r="H21" s="87" t="s">
        <v>6</v>
      </c>
      <c r="I21" s="87" t="s">
        <v>7</v>
      </c>
      <c r="J21" s="88" t="s">
        <v>8</v>
      </c>
      <c r="CC21" s="262">
        <v>8</v>
      </c>
      <c r="CD21" s="162"/>
      <c r="CE21" s="162"/>
      <c r="CF21" s="162"/>
      <c r="CG21" s="162"/>
      <c r="CH21" s="162"/>
      <c r="CI21" s="162"/>
      <c r="CJ21" s="162"/>
      <c r="CK21" s="162"/>
      <c r="CL21" s="195"/>
      <c r="CM21" s="195"/>
      <c r="CN21" s="195"/>
      <c r="CO21" s="263"/>
    </row>
    <row r="22" spans="2:93" ht="18" customHeight="1" thickBot="1" x14ac:dyDescent="0.3">
      <c r="B22" s="89" t="s">
        <v>9</v>
      </c>
      <c r="C22" s="57" t="s">
        <v>10</v>
      </c>
      <c r="D22" s="57" t="s">
        <v>11</v>
      </c>
      <c r="E22" s="57" t="s">
        <v>12</v>
      </c>
      <c r="F22" s="57" t="s">
        <v>13</v>
      </c>
      <c r="G22" s="57" t="s">
        <v>14</v>
      </c>
      <c r="H22" s="57" t="s">
        <v>15</v>
      </c>
      <c r="I22" s="57" t="s">
        <v>16</v>
      </c>
      <c r="J22" s="96" t="s">
        <v>17</v>
      </c>
      <c r="CC22" s="264">
        <v>9</v>
      </c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263"/>
    </row>
    <row r="23" spans="2:93" ht="18" customHeight="1" thickBot="1" x14ac:dyDescent="0.3">
      <c r="B23" s="90" t="s">
        <v>18</v>
      </c>
      <c r="C23" s="91" t="s">
        <v>19</v>
      </c>
      <c r="D23" s="91" t="s">
        <v>20</v>
      </c>
      <c r="E23" s="91" t="s">
        <v>21</v>
      </c>
      <c r="F23" s="91" t="s">
        <v>22</v>
      </c>
      <c r="G23" s="91" t="s">
        <v>23</v>
      </c>
      <c r="H23" s="91" t="s">
        <v>24</v>
      </c>
      <c r="I23" s="91" t="s">
        <v>25</v>
      </c>
      <c r="J23" s="97"/>
      <c r="BS23" s="416" t="s">
        <v>108</v>
      </c>
      <c r="BT23" s="417"/>
      <c r="BU23" s="417"/>
      <c r="BV23" s="417"/>
      <c r="BW23" s="417" t="s">
        <v>106</v>
      </c>
      <c r="BX23" s="417"/>
      <c r="BY23" s="417"/>
      <c r="BZ23" s="418"/>
      <c r="CC23" s="264">
        <v>10</v>
      </c>
      <c r="CD23" s="195"/>
      <c r="CE23" s="243"/>
      <c r="CF23" s="195"/>
      <c r="CG23" s="195"/>
      <c r="CH23" s="195"/>
      <c r="CI23" s="195"/>
      <c r="CJ23" s="195"/>
      <c r="CK23" s="195"/>
      <c r="CL23" s="195"/>
      <c r="CM23" s="195"/>
      <c r="CN23" s="195"/>
      <c r="CO23" s="263"/>
    </row>
    <row r="24" spans="2:93" ht="18" customHeight="1" thickBot="1" x14ac:dyDescent="0.4">
      <c r="B24" s="98">
        <v>1</v>
      </c>
      <c r="C24" s="104" t="s">
        <v>39</v>
      </c>
      <c r="D24" s="104" t="s">
        <v>39</v>
      </c>
      <c r="E24" s="104" t="s">
        <v>39</v>
      </c>
      <c r="F24" s="99"/>
      <c r="G24" s="99"/>
      <c r="H24" s="99"/>
      <c r="I24" s="99"/>
      <c r="J24" s="100"/>
      <c r="BO24" s="411"/>
      <c r="BQ24" s="412" t="s">
        <v>99</v>
      </c>
      <c r="BS24" s="416" t="s">
        <v>109</v>
      </c>
      <c r="BT24" s="417"/>
      <c r="BU24" s="417"/>
      <c r="BV24" s="417"/>
      <c r="BW24" s="417">
        <v>3</v>
      </c>
      <c r="BX24" s="417"/>
      <c r="BY24" s="417"/>
      <c r="BZ24" s="418"/>
      <c r="CC24" s="264">
        <v>11</v>
      </c>
      <c r="CD24" s="195"/>
      <c r="CE24" s="195"/>
      <c r="CF24" s="195"/>
      <c r="CG24" s="195"/>
      <c r="CH24" s="195"/>
      <c r="CI24" s="195"/>
      <c r="CJ24" s="195"/>
      <c r="CK24" s="195"/>
      <c r="CL24" s="195"/>
      <c r="CM24" s="195"/>
      <c r="CN24" s="195"/>
      <c r="CO24" s="263"/>
    </row>
    <row r="25" spans="2:93" ht="18" customHeight="1" thickBot="1" x14ac:dyDescent="0.4">
      <c r="B25" s="101">
        <v>2</v>
      </c>
      <c r="C25" s="104" t="s">
        <v>39</v>
      </c>
      <c r="D25" s="104" t="s">
        <v>39</v>
      </c>
      <c r="E25" s="104" t="s">
        <v>39</v>
      </c>
      <c r="F25" s="104" t="s">
        <v>39</v>
      </c>
      <c r="G25" s="102"/>
      <c r="H25" s="102"/>
      <c r="I25" s="102"/>
      <c r="J25" s="103"/>
      <c r="BQ25" s="412" t="s">
        <v>100</v>
      </c>
      <c r="BS25" s="416" t="s">
        <v>107</v>
      </c>
      <c r="BT25" s="417"/>
      <c r="BU25" s="417"/>
      <c r="BV25" s="417"/>
      <c r="BW25" s="417"/>
      <c r="BX25" s="417"/>
      <c r="BY25" s="417"/>
      <c r="BZ25" s="418"/>
      <c r="CC25" s="265">
        <v>12</v>
      </c>
      <c r="CD25" s="266"/>
      <c r="CE25" s="266"/>
      <c r="CF25" s="266"/>
      <c r="CG25" s="266"/>
      <c r="CH25" s="266"/>
      <c r="CI25" s="266"/>
      <c r="CJ25" s="266"/>
      <c r="CK25" s="266"/>
      <c r="CL25" s="266"/>
      <c r="CM25" s="266"/>
      <c r="CN25" s="266"/>
      <c r="CO25" s="267"/>
    </row>
    <row r="26" spans="2:93" ht="18" customHeight="1" thickBot="1" x14ac:dyDescent="0.4">
      <c r="B26" s="101">
        <v>3</v>
      </c>
      <c r="C26" s="104" t="s">
        <v>39</v>
      </c>
      <c r="D26" s="104" t="s">
        <v>39</v>
      </c>
      <c r="E26" s="104" t="s">
        <v>39</v>
      </c>
      <c r="F26" s="104" t="s">
        <v>39</v>
      </c>
      <c r="G26" s="104" t="s">
        <v>39</v>
      </c>
      <c r="H26" s="102"/>
      <c r="I26" s="102"/>
      <c r="J26" s="103"/>
      <c r="BQ26" s="412" t="s">
        <v>101</v>
      </c>
    </row>
    <row r="27" spans="2:93" ht="18" customHeight="1" x14ac:dyDescent="0.35">
      <c r="B27" s="76"/>
      <c r="C27" s="50" t="s">
        <v>0</v>
      </c>
      <c r="D27" s="50" t="s">
        <v>1</v>
      </c>
      <c r="E27" s="50" t="s">
        <v>2</v>
      </c>
      <c r="F27" s="50" t="s">
        <v>3</v>
      </c>
      <c r="G27" s="50" t="s">
        <v>4</v>
      </c>
      <c r="H27" s="50" t="s">
        <v>5</v>
      </c>
      <c r="I27" s="50" t="s">
        <v>6</v>
      </c>
      <c r="J27" s="51" t="s">
        <v>7</v>
      </c>
      <c r="BQ27" s="412" t="s">
        <v>102</v>
      </c>
    </row>
    <row r="28" spans="2:93" ht="18" customHeight="1" x14ac:dyDescent="0.35">
      <c r="B28" s="53">
        <v>1</v>
      </c>
      <c r="C28" s="57"/>
      <c r="D28" s="57"/>
      <c r="E28" s="57"/>
      <c r="F28" s="57"/>
      <c r="G28" s="57"/>
      <c r="H28" s="57"/>
      <c r="I28" s="57"/>
      <c r="J28" s="96"/>
      <c r="BQ28" s="412" t="s">
        <v>103</v>
      </c>
    </row>
    <row r="29" spans="2:93" ht="18" customHeight="1" x14ac:dyDescent="0.35">
      <c r="B29" s="53">
        <v>2</v>
      </c>
      <c r="C29" s="57"/>
      <c r="D29" s="57"/>
      <c r="E29" s="57"/>
      <c r="F29" s="57"/>
      <c r="G29" s="57"/>
      <c r="H29" s="57"/>
      <c r="I29" s="57"/>
      <c r="J29" s="96"/>
      <c r="BQ29" s="412" t="s">
        <v>104</v>
      </c>
    </row>
    <row r="30" spans="2:93" ht="18" customHeight="1" x14ac:dyDescent="0.25">
      <c r="B30" s="53">
        <v>3</v>
      </c>
      <c r="C30" s="57"/>
      <c r="D30" s="57"/>
      <c r="E30" s="57"/>
      <c r="F30" s="57"/>
      <c r="G30" s="57"/>
      <c r="H30" s="57"/>
      <c r="I30" s="57"/>
      <c r="J30" s="96"/>
    </row>
    <row r="31" spans="2:93" ht="18" customHeight="1" x14ac:dyDescent="0.25">
      <c r="B31" s="53">
        <v>4</v>
      </c>
      <c r="C31" s="57"/>
      <c r="D31" s="57"/>
      <c r="E31" s="57"/>
      <c r="F31" s="57"/>
      <c r="G31" s="57"/>
      <c r="H31" s="57"/>
      <c r="I31" s="57"/>
      <c r="J31" s="96"/>
    </row>
    <row r="32" spans="2:93" ht="18" customHeight="1" x14ac:dyDescent="0.25">
      <c r="B32" s="53">
        <v>5</v>
      </c>
      <c r="C32" s="57"/>
      <c r="D32" s="57"/>
      <c r="E32" s="57"/>
      <c r="F32" s="57"/>
      <c r="G32" s="57"/>
      <c r="H32" s="57"/>
      <c r="I32" s="57"/>
      <c r="J32" s="96"/>
    </row>
    <row r="33" spans="2:10" ht="18" customHeight="1" x14ac:dyDescent="0.25">
      <c r="B33" s="53">
        <v>6</v>
      </c>
      <c r="C33" s="57"/>
      <c r="D33" s="57"/>
      <c r="E33" s="57"/>
      <c r="F33" s="57"/>
      <c r="G33" s="57"/>
      <c r="H33" s="57"/>
      <c r="I33" s="57"/>
      <c r="J33" s="96"/>
    </row>
    <row r="34" spans="2:10" ht="18" customHeight="1" x14ac:dyDescent="0.25">
      <c r="B34" s="53">
        <v>7</v>
      </c>
      <c r="C34" s="57"/>
      <c r="D34" s="57"/>
      <c r="E34" s="57"/>
      <c r="F34" s="57"/>
      <c r="G34" s="57"/>
      <c r="H34" s="57"/>
      <c r="I34" s="57"/>
      <c r="J34" s="96"/>
    </row>
    <row r="35" spans="2:10" ht="18" customHeight="1" thickBot="1" x14ac:dyDescent="0.3">
      <c r="B35" s="60">
        <v>8</v>
      </c>
      <c r="C35" s="91"/>
      <c r="D35" s="91"/>
      <c r="E35" s="91"/>
      <c r="F35" s="91"/>
      <c r="G35" s="91"/>
      <c r="H35" s="91"/>
      <c r="I35" s="91"/>
      <c r="J35" s="97"/>
    </row>
  </sheetData>
  <mergeCells count="13">
    <mergeCell ref="BS23:BV23"/>
    <mergeCell ref="BS24:BV24"/>
    <mergeCell ref="BS25:BV25"/>
    <mergeCell ref="BW23:BZ23"/>
    <mergeCell ref="BW24:BZ24"/>
    <mergeCell ref="BW25:BZ25"/>
    <mergeCell ref="B3:J3"/>
    <mergeCell ref="B20:J20"/>
    <mergeCell ref="CC6:CO6"/>
    <mergeCell ref="CC7:CO7"/>
    <mergeCell ref="CC8:CO8"/>
    <mergeCell ref="CC9:CO9"/>
    <mergeCell ref="CC10:CO10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9541-9EAD-4A1A-85B9-51C120D59AE7}">
  <dimension ref="E1:BY43"/>
  <sheetViews>
    <sheetView zoomScale="40" zoomScaleNormal="40" workbookViewId="0">
      <selection activeCell="E2" sqref="E2:Q21"/>
    </sheetView>
  </sheetViews>
  <sheetFormatPr defaultColWidth="5" defaultRowHeight="26.25" customHeight="1" x14ac:dyDescent="0.25"/>
  <sheetData>
    <row r="1" spans="5:32" ht="26.25" customHeight="1" thickBot="1" x14ac:dyDescent="0.3"/>
    <row r="2" spans="5:32" ht="26.25" customHeight="1" thickBot="1" x14ac:dyDescent="0.3">
      <c r="E2" s="351" t="s">
        <v>90</v>
      </c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3"/>
      <c r="T2" s="366" t="s">
        <v>91</v>
      </c>
      <c r="U2" s="367"/>
      <c r="V2" s="367"/>
      <c r="W2" s="367"/>
      <c r="X2" s="367"/>
      <c r="Y2" s="367"/>
      <c r="Z2" s="367"/>
      <c r="AA2" s="367"/>
      <c r="AB2" s="367"/>
      <c r="AC2" s="367"/>
      <c r="AD2" s="367"/>
      <c r="AE2" s="367"/>
      <c r="AF2" s="368"/>
    </row>
    <row r="3" spans="5:32" ht="26.25" customHeight="1" x14ac:dyDescent="0.25">
      <c r="E3" s="348" t="s">
        <v>92</v>
      </c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50"/>
      <c r="T3" s="255">
        <v>1</v>
      </c>
      <c r="U3" s="256" t="s">
        <v>27</v>
      </c>
      <c r="V3" s="256" t="s">
        <v>27</v>
      </c>
      <c r="W3" s="256" t="s">
        <v>27</v>
      </c>
      <c r="X3" s="257"/>
      <c r="Y3" s="257"/>
      <c r="Z3" s="257"/>
      <c r="AA3" s="257"/>
      <c r="AB3" s="257"/>
      <c r="AC3" s="257"/>
      <c r="AD3" s="257"/>
      <c r="AE3" s="257"/>
      <c r="AF3" s="258"/>
    </row>
    <row r="4" spans="5:32" ht="26.25" customHeight="1" x14ac:dyDescent="0.25">
      <c r="E4" s="345" t="s">
        <v>93</v>
      </c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7"/>
      <c r="T4" s="253">
        <v>2</v>
      </c>
      <c r="U4" s="252" t="s">
        <v>27</v>
      </c>
      <c r="V4" s="252" t="s">
        <v>27</v>
      </c>
      <c r="W4" s="252" t="s">
        <v>27</v>
      </c>
      <c r="X4" s="252" t="s">
        <v>27</v>
      </c>
      <c r="Y4" s="192"/>
      <c r="Z4" s="192"/>
      <c r="AA4" s="192"/>
      <c r="AB4" s="192"/>
      <c r="AC4" s="192"/>
      <c r="AD4" s="192"/>
      <c r="AE4" s="192"/>
      <c r="AF4" s="254"/>
    </row>
    <row r="5" spans="5:32" ht="26.25" customHeight="1" x14ac:dyDescent="0.25">
      <c r="E5" s="345" t="s">
        <v>94</v>
      </c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7"/>
      <c r="T5" s="253">
        <v>3</v>
      </c>
      <c r="U5" s="252" t="s">
        <v>27</v>
      </c>
      <c r="V5" s="252" t="s">
        <v>27</v>
      </c>
      <c r="W5" s="252" t="s">
        <v>27</v>
      </c>
      <c r="X5" s="252" t="s">
        <v>27</v>
      </c>
      <c r="Y5" s="252" t="s">
        <v>27</v>
      </c>
      <c r="Z5" s="192"/>
      <c r="AA5" s="192"/>
      <c r="AB5" s="192"/>
      <c r="AC5" s="192"/>
      <c r="AD5" s="192"/>
      <c r="AE5" s="192"/>
      <c r="AF5" s="254"/>
    </row>
    <row r="6" spans="5:32" ht="26.25" customHeight="1" thickBot="1" x14ac:dyDescent="0.3">
      <c r="E6" s="345" t="s">
        <v>95</v>
      </c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7"/>
      <c r="T6" s="259">
        <v>4</v>
      </c>
      <c r="U6" s="260" t="s">
        <v>27</v>
      </c>
      <c r="V6" s="260" t="s">
        <v>27</v>
      </c>
      <c r="W6" s="260" t="s">
        <v>27</v>
      </c>
      <c r="X6" s="260" t="s">
        <v>27</v>
      </c>
      <c r="Y6" s="260" t="s">
        <v>27</v>
      </c>
      <c r="Z6" s="260" t="s">
        <v>27</v>
      </c>
      <c r="AA6" s="200"/>
      <c r="AB6" s="200"/>
      <c r="AC6" s="200"/>
      <c r="AD6" s="200"/>
      <c r="AE6" s="200"/>
      <c r="AF6" s="261"/>
    </row>
    <row r="7" spans="5:32" ht="26.25" customHeight="1" x14ac:dyDescent="0.25">
      <c r="E7" s="271" t="s">
        <v>0</v>
      </c>
      <c r="F7" s="272" t="s">
        <v>1</v>
      </c>
      <c r="G7" s="272" t="s">
        <v>2</v>
      </c>
      <c r="H7" s="272" t="s">
        <v>3</v>
      </c>
      <c r="I7" s="272" t="s">
        <v>4</v>
      </c>
      <c r="J7" s="272" t="s">
        <v>5</v>
      </c>
      <c r="K7" s="272" t="s">
        <v>6</v>
      </c>
      <c r="L7" s="272" t="s">
        <v>7</v>
      </c>
      <c r="M7" s="272" t="s">
        <v>8</v>
      </c>
      <c r="N7" s="272" t="s">
        <v>9</v>
      </c>
      <c r="O7" s="272" t="s">
        <v>10</v>
      </c>
      <c r="P7" s="272" t="s">
        <v>11</v>
      </c>
      <c r="Q7" s="273" t="s">
        <v>12</v>
      </c>
      <c r="T7" s="251" t="s">
        <v>0</v>
      </c>
      <c r="U7" s="210" t="s">
        <v>1</v>
      </c>
      <c r="V7" s="210" t="s">
        <v>2</v>
      </c>
      <c r="W7" s="210" t="s">
        <v>3</v>
      </c>
      <c r="X7" s="210" t="s">
        <v>4</v>
      </c>
      <c r="Y7" s="210" t="s">
        <v>5</v>
      </c>
      <c r="Z7" s="210" t="s">
        <v>6</v>
      </c>
      <c r="AA7" s="210" t="s">
        <v>7</v>
      </c>
      <c r="AB7" s="210" t="s">
        <v>8</v>
      </c>
      <c r="AC7" s="210" t="s">
        <v>9</v>
      </c>
      <c r="AD7" s="210" t="s">
        <v>10</v>
      </c>
      <c r="AE7" s="210" t="s">
        <v>11</v>
      </c>
      <c r="AF7" s="211" t="s">
        <v>12</v>
      </c>
    </row>
    <row r="8" spans="5:32" ht="26.25" customHeight="1" thickBot="1" x14ac:dyDescent="0.3">
      <c r="E8" s="274" t="s">
        <v>13</v>
      </c>
      <c r="F8" s="275" t="s">
        <v>14</v>
      </c>
      <c r="G8" s="275" t="s">
        <v>15</v>
      </c>
      <c r="H8" s="275" t="s">
        <v>16</v>
      </c>
      <c r="I8" s="275" t="s">
        <v>17</v>
      </c>
      <c r="J8" s="275" t="s">
        <v>18</v>
      </c>
      <c r="K8" s="275" t="s">
        <v>19</v>
      </c>
      <c r="L8" s="275" t="s">
        <v>20</v>
      </c>
      <c r="M8" s="275" t="s">
        <v>21</v>
      </c>
      <c r="N8" s="275" t="s">
        <v>22</v>
      </c>
      <c r="O8" s="275" t="s">
        <v>23</v>
      </c>
      <c r="P8" s="275" t="s">
        <v>24</v>
      </c>
      <c r="Q8" s="276" t="s">
        <v>25</v>
      </c>
      <c r="T8" s="212" t="s">
        <v>13</v>
      </c>
      <c r="U8" s="213" t="s">
        <v>14</v>
      </c>
      <c r="V8" s="213" t="s">
        <v>15</v>
      </c>
      <c r="W8" s="213" t="s">
        <v>16</v>
      </c>
      <c r="X8" s="213" t="s">
        <v>17</v>
      </c>
      <c r="Y8" s="213" t="s">
        <v>18</v>
      </c>
      <c r="Z8" s="213" t="s">
        <v>19</v>
      </c>
      <c r="AA8" s="213" t="s">
        <v>20</v>
      </c>
      <c r="AB8" s="213" t="s">
        <v>21</v>
      </c>
      <c r="AC8" s="213" t="s">
        <v>22</v>
      </c>
      <c r="AD8" s="213" t="s">
        <v>23</v>
      </c>
      <c r="AE8" s="213" t="s">
        <v>24</v>
      </c>
      <c r="AF8" s="214" t="s">
        <v>25</v>
      </c>
    </row>
    <row r="9" spans="5:32" ht="26.25" customHeight="1" x14ac:dyDescent="0.25">
      <c r="E9" s="268"/>
      <c r="F9" s="269" t="s">
        <v>0</v>
      </c>
      <c r="G9" s="269" t="s">
        <v>1</v>
      </c>
      <c r="H9" s="269" t="s">
        <v>2</v>
      </c>
      <c r="I9" s="269" t="s">
        <v>3</v>
      </c>
      <c r="J9" s="269" t="s">
        <v>4</v>
      </c>
      <c r="K9" s="269" t="s">
        <v>5</v>
      </c>
      <c r="L9" s="269" t="s">
        <v>6</v>
      </c>
      <c r="M9" s="269" t="s">
        <v>7</v>
      </c>
      <c r="N9" s="183" t="s">
        <v>8</v>
      </c>
      <c r="O9" s="183" t="s">
        <v>9</v>
      </c>
      <c r="P9" s="183" t="s">
        <v>10</v>
      </c>
      <c r="Q9" s="270" t="s">
        <v>11</v>
      </c>
      <c r="T9" s="218"/>
      <c r="U9" s="219" t="s">
        <v>0</v>
      </c>
      <c r="V9" s="219" t="s">
        <v>1</v>
      </c>
      <c r="W9" s="219" t="s">
        <v>2</v>
      </c>
      <c r="X9" s="219" t="s">
        <v>3</v>
      </c>
      <c r="Y9" s="219" t="s">
        <v>4</v>
      </c>
      <c r="Z9" s="219" t="s">
        <v>5</v>
      </c>
      <c r="AA9" s="219" t="s">
        <v>6</v>
      </c>
      <c r="AB9" s="219" t="s">
        <v>7</v>
      </c>
      <c r="AC9" s="219" t="s">
        <v>8</v>
      </c>
      <c r="AD9" s="219" t="s">
        <v>9</v>
      </c>
      <c r="AE9" s="219" t="s">
        <v>10</v>
      </c>
      <c r="AF9" s="222" t="s">
        <v>11</v>
      </c>
    </row>
    <row r="10" spans="5:32" ht="26.25" customHeight="1" x14ac:dyDescent="0.25">
      <c r="E10" s="262">
        <v>1</v>
      </c>
      <c r="F10" s="162"/>
      <c r="G10" s="162"/>
      <c r="H10" s="162"/>
      <c r="I10" s="162"/>
      <c r="J10" s="162"/>
      <c r="K10" s="162"/>
      <c r="L10" s="162"/>
      <c r="M10" s="162"/>
      <c r="N10" s="195"/>
      <c r="O10" s="195"/>
      <c r="P10" s="195"/>
      <c r="Q10" s="263"/>
      <c r="T10" s="223">
        <v>1</v>
      </c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225"/>
    </row>
    <row r="11" spans="5:32" ht="26.25" customHeight="1" x14ac:dyDescent="0.25">
      <c r="E11" s="262">
        <v>2</v>
      </c>
      <c r="F11" s="162"/>
      <c r="G11" s="162"/>
      <c r="H11" s="162"/>
      <c r="I11" s="162"/>
      <c r="J11" s="162"/>
      <c r="K11" s="162"/>
      <c r="L11" s="162"/>
      <c r="M11" s="162"/>
      <c r="N11" s="195"/>
      <c r="O11" s="195"/>
      <c r="P11" s="195"/>
      <c r="Q11" s="263"/>
      <c r="T11" s="223">
        <v>2</v>
      </c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225"/>
    </row>
    <row r="12" spans="5:32" ht="26.25" customHeight="1" x14ac:dyDescent="0.25">
      <c r="E12" s="262">
        <v>3</v>
      </c>
      <c r="F12" s="162"/>
      <c r="G12" s="162"/>
      <c r="H12" s="162"/>
      <c r="I12" s="162"/>
      <c r="J12" s="162"/>
      <c r="K12" s="162"/>
      <c r="L12" s="162"/>
      <c r="M12" s="162"/>
      <c r="N12" s="195"/>
      <c r="O12" s="195"/>
      <c r="P12" s="195"/>
      <c r="Q12" s="263"/>
      <c r="T12" s="223">
        <v>3</v>
      </c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225"/>
    </row>
    <row r="13" spans="5:32" ht="26.25" customHeight="1" x14ac:dyDescent="0.25">
      <c r="E13" s="262">
        <v>4</v>
      </c>
      <c r="F13" s="162"/>
      <c r="G13" s="162"/>
      <c r="H13" s="162"/>
      <c r="I13" s="162"/>
      <c r="J13" s="162"/>
      <c r="K13" s="162"/>
      <c r="L13" s="162"/>
      <c r="M13" s="162"/>
      <c r="N13" s="195"/>
      <c r="O13" s="195"/>
      <c r="P13" s="195"/>
      <c r="Q13" s="263"/>
      <c r="T13" s="223">
        <v>4</v>
      </c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225"/>
    </row>
    <row r="14" spans="5:32" ht="26.25" customHeight="1" x14ac:dyDescent="0.25">
      <c r="E14" s="262">
        <v>5</v>
      </c>
      <c r="F14" s="162"/>
      <c r="G14" s="228"/>
      <c r="H14" s="162"/>
      <c r="I14" s="162"/>
      <c r="J14" s="162"/>
      <c r="K14" s="162"/>
      <c r="L14" s="162"/>
      <c r="M14" s="162"/>
      <c r="N14" s="195"/>
      <c r="O14" s="195"/>
      <c r="P14" s="195"/>
      <c r="Q14" s="263"/>
      <c r="T14" s="223">
        <v>5</v>
      </c>
      <c r="U14" s="162"/>
      <c r="V14" s="228"/>
      <c r="W14" s="162"/>
      <c r="X14" s="162"/>
      <c r="Y14" s="162"/>
      <c r="Z14" s="162"/>
      <c r="AA14" s="162"/>
      <c r="AB14" s="162"/>
      <c r="AC14" s="162"/>
      <c r="AD14" s="162"/>
      <c r="AE14" s="162"/>
      <c r="AF14" s="225"/>
    </row>
    <row r="15" spans="5:32" ht="26.25" customHeight="1" x14ac:dyDescent="0.25">
      <c r="E15" s="262">
        <v>6</v>
      </c>
      <c r="F15" s="162"/>
      <c r="G15" s="162"/>
      <c r="H15" s="162"/>
      <c r="I15" s="162"/>
      <c r="J15" s="162"/>
      <c r="K15" s="162"/>
      <c r="L15" s="162"/>
      <c r="M15" s="162"/>
      <c r="N15" s="195"/>
      <c r="O15" s="195"/>
      <c r="P15" s="195"/>
      <c r="Q15" s="263"/>
      <c r="T15" s="223">
        <v>6</v>
      </c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225"/>
    </row>
    <row r="16" spans="5:32" ht="26.25" customHeight="1" x14ac:dyDescent="0.25">
      <c r="E16" s="262">
        <v>7</v>
      </c>
      <c r="F16" s="162"/>
      <c r="G16" s="228"/>
      <c r="H16" s="162"/>
      <c r="I16" s="162"/>
      <c r="J16" s="162"/>
      <c r="K16" s="162"/>
      <c r="L16" s="162"/>
      <c r="M16" s="162"/>
      <c r="N16" s="195"/>
      <c r="O16" s="195"/>
      <c r="P16" s="195"/>
      <c r="Q16" s="263"/>
      <c r="T16" s="223">
        <v>7</v>
      </c>
      <c r="U16" s="162"/>
      <c r="V16" s="228"/>
      <c r="W16" s="162"/>
      <c r="X16" s="162"/>
      <c r="Y16" s="162"/>
      <c r="Z16" s="162"/>
      <c r="AA16" s="162"/>
      <c r="AB16" s="162"/>
      <c r="AC16" s="162"/>
      <c r="AD16" s="162"/>
      <c r="AE16" s="162"/>
      <c r="AF16" s="225"/>
    </row>
    <row r="17" spans="5:77" ht="26.25" customHeight="1" x14ac:dyDescent="0.25">
      <c r="E17" s="262">
        <v>8</v>
      </c>
      <c r="F17" s="162"/>
      <c r="G17" s="162"/>
      <c r="H17" s="162"/>
      <c r="I17" s="162"/>
      <c r="J17" s="162"/>
      <c r="K17" s="162"/>
      <c r="L17" s="162"/>
      <c r="M17" s="162"/>
      <c r="N17" s="195"/>
      <c r="O17" s="195"/>
      <c r="P17" s="195"/>
      <c r="Q17" s="263"/>
      <c r="T17" s="223">
        <v>8</v>
      </c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225"/>
    </row>
    <row r="18" spans="5:77" ht="26.25" customHeight="1" x14ac:dyDescent="0.25">
      <c r="E18" s="264">
        <v>9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263"/>
      <c r="T18" s="223">
        <v>9</v>
      </c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225"/>
    </row>
    <row r="19" spans="5:77" ht="26.25" customHeight="1" x14ac:dyDescent="0.25">
      <c r="E19" s="264">
        <v>10</v>
      </c>
      <c r="F19" s="195"/>
      <c r="G19" s="243"/>
      <c r="H19" s="195"/>
      <c r="I19" s="195"/>
      <c r="J19" s="195"/>
      <c r="K19" s="195"/>
      <c r="L19" s="195"/>
      <c r="M19" s="195"/>
      <c r="N19" s="195"/>
      <c r="O19" s="195"/>
      <c r="P19" s="195"/>
      <c r="Q19" s="263"/>
      <c r="T19" s="223">
        <v>10</v>
      </c>
      <c r="U19" s="162"/>
      <c r="V19" s="228"/>
      <c r="W19" s="162"/>
      <c r="X19" s="162"/>
      <c r="Y19" s="162"/>
      <c r="Z19" s="162"/>
      <c r="AA19" s="162"/>
      <c r="AB19" s="162"/>
      <c r="AC19" s="162"/>
      <c r="AD19" s="162"/>
      <c r="AE19" s="162"/>
      <c r="AF19" s="225"/>
    </row>
    <row r="20" spans="5:77" ht="26.25" customHeight="1" x14ac:dyDescent="0.25">
      <c r="E20" s="264">
        <v>11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263"/>
      <c r="T20" s="223">
        <v>11</v>
      </c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225"/>
    </row>
    <row r="21" spans="5:77" ht="26.25" customHeight="1" thickBot="1" x14ac:dyDescent="0.3">
      <c r="E21" s="265">
        <v>12</v>
      </c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7"/>
      <c r="T21" s="230">
        <v>12</v>
      </c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4"/>
    </row>
    <row r="22" spans="5:77" ht="26.25" customHeight="1" x14ac:dyDescent="0.25"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</row>
    <row r="23" spans="5:77" ht="26.25" customHeight="1" thickBot="1" x14ac:dyDescent="0.3"/>
    <row r="24" spans="5:77" ht="26.25" customHeight="1" thickBot="1" x14ac:dyDescent="0.3">
      <c r="AH24" s="369" t="s">
        <v>90</v>
      </c>
      <c r="AI24" s="370"/>
      <c r="AJ24" s="370"/>
      <c r="AK24" s="370"/>
      <c r="AL24" s="370"/>
      <c r="AM24" s="370"/>
      <c r="AN24" s="370"/>
      <c r="AO24" s="370"/>
      <c r="AP24" s="370"/>
      <c r="AQ24" s="370"/>
      <c r="AR24" s="370"/>
      <c r="AS24" s="370"/>
      <c r="AT24" s="371"/>
      <c r="AW24" s="366" t="s">
        <v>91</v>
      </c>
      <c r="AX24" s="367"/>
      <c r="AY24" s="367"/>
      <c r="AZ24" s="367"/>
      <c r="BA24" s="367"/>
      <c r="BB24" s="367"/>
      <c r="BC24" s="367"/>
      <c r="BD24" s="367"/>
      <c r="BE24" s="367"/>
      <c r="BF24" s="367"/>
      <c r="BG24" s="367"/>
      <c r="BH24" s="367"/>
      <c r="BI24" s="368"/>
      <c r="BM24" s="342" t="s">
        <v>91</v>
      </c>
      <c r="BN24" s="343"/>
      <c r="BO24" s="343"/>
      <c r="BP24" s="343"/>
      <c r="BQ24" s="343"/>
      <c r="BR24" s="343"/>
      <c r="BS24" s="343"/>
      <c r="BT24" s="343"/>
      <c r="BU24" s="343"/>
      <c r="BV24" s="343"/>
      <c r="BW24" s="343"/>
      <c r="BX24" s="343"/>
      <c r="BY24" s="344"/>
    </row>
    <row r="25" spans="5:77" ht="26.25" customHeight="1" thickBot="1" x14ac:dyDescent="0.3">
      <c r="AH25" s="255">
        <v>1</v>
      </c>
      <c r="AI25" s="256" t="s">
        <v>27</v>
      </c>
      <c r="AJ25" s="256" t="s">
        <v>27</v>
      </c>
      <c r="AK25" s="256" t="s">
        <v>27</v>
      </c>
      <c r="AL25" s="257"/>
      <c r="AM25" s="257"/>
      <c r="AN25" s="257"/>
      <c r="AO25" s="257"/>
      <c r="AP25" s="257"/>
      <c r="AQ25" s="257"/>
      <c r="AR25" s="257"/>
      <c r="AS25" s="257"/>
      <c r="AT25" s="258"/>
      <c r="AW25" s="255">
        <v>1</v>
      </c>
      <c r="AX25" s="256" t="s">
        <v>27</v>
      </c>
      <c r="AY25" s="256" t="s">
        <v>27</v>
      </c>
      <c r="AZ25" s="256" t="s">
        <v>27</v>
      </c>
      <c r="BA25" s="257"/>
      <c r="BB25" s="257"/>
      <c r="BC25" s="257"/>
      <c r="BD25" s="257"/>
      <c r="BE25" s="257"/>
      <c r="BF25" s="257"/>
      <c r="BG25" s="257"/>
      <c r="BH25" s="257"/>
      <c r="BI25" s="258"/>
      <c r="BM25" s="345" t="s">
        <v>92</v>
      </c>
      <c r="BN25" s="346"/>
      <c r="BO25" s="346"/>
      <c r="BP25" s="346"/>
      <c r="BQ25" s="346"/>
      <c r="BR25" s="346"/>
      <c r="BS25" s="346"/>
      <c r="BT25" s="346"/>
      <c r="BU25" s="346"/>
      <c r="BV25" s="346"/>
      <c r="BW25" s="346"/>
      <c r="BX25" s="346"/>
      <c r="BY25" s="347"/>
    </row>
    <row r="26" spans="5:77" ht="26.25" customHeight="1" x14ac:dyDescent="0.25">
      <c r="U26" s="354" t="s">
        <v>90</v>
      </c>
      <c r="V26" s="355"/>
      <c r="W26" s="355"/>
      <c r="X26" s="355"/>
      <c r="Y26" s="356"/>
      <c r="AH26" s="253">
        <v>2</v>
      </c>
      <c r="AI26" s="252" t="s">
        <v>27</v>
      </c>
      <c r="AJ26" s="252" t="s">
        <v>27</v>
      </c>
      <c r="AK26" s="252" t="s">
        <v>27</v>
      </c>
      <c r="AL26" s="252" t="s">
        <v>27</v>
      </c>
      <c r="AM26" s="192"/>
      <c r="AN26" s="192"/>
      <c r="AO26" s="192"/>
      <c r="AP26" s="192"/>
      <c r="AQ26" s="192"/>
      <c r="AR26" s="192"/>
      <c r="AS26" s="192"/>
      <c r="AT26" s="254"/>
      <c r="AW26" s="253">
        <v>2</v>
      </c>
      <c r="AX26" s="252" t="s">
        <v>27</v>
      </c>
      <c r="AY26" s="252" t="s">
        <v>27</v>
      </c>
      <c r="AZ26" s="252" t="s">
        <v>27</v>
      </c>
      <c r="BA26" s="252" t="s">
        <v>27</v>
      </c>
      <c r="BB26" s="192"/>
      <c r="BC26" s="192"/>
      <c r="BD26" s="192"/>
      <c r="BE26" s="192"/>
      <c r="BF26" s="192"/>
      <c r="BG26" s="192"/>
      <c r="BH26" s="192"/>
      <c r="BI26" s="254"/>
      <c r="BM26" s="345" t="s">
        <v>93</v>
      </c>
      <c r="BN26" s="346"/>
      <c r="BO26" s="346"/>
      <c r="BP26" s="346"/>
      <c r="BQ26" s="346"/>
      <c r="BR26" s="346"/>
      <c r="BS26" s="346"/>
      <c r="BT26" s="346"/>
      <c r="BU26" s="346"/>
      <c r="BV26" s="346"/>
      <c r="BW26" s="346"/>
      <c r="BX26" s="346"/>
      <c r="BY26" s="347"/>
    </row>
    <row r="27" spans="5:77" ht="26.25" customHeight="1" thickBot="1" x14ac:dyDescent="0.3">
      <c r="U27" s="357" t="s">
        <v>96</v>
      </c>
      <c r="V27" s="358"/>
      <c r="W27" s="358"/>
      <c r="X27" s="358"/>
      <c r="Y27" s="359"/>
      <c r="AH27" s="253">
        <v>3</v>
      </c>
      <c r="AI27" s="252" t="s">
        <v>27</v>
      </c>
      <c r="AJ27" s="252" t="s">
        <v>27</v>
      </c>
      <c r="AK27" s="252" t="s">
        <v>27</v>
      </c>
      <c r="AL27" s="252" t="s">
        <v>27</v>
      </c>
      <c r="AM27" s="252" t="s">
        <v>27</v>
      </c>
      <c r="AN27" s="192"/>
      <c r="AO27" s="192"/>
      <c r="AP27" s="192"/>
      <c r="AQ27" s="192"/>
      <c r="AR27" s="192"/>
      <c r="AS27" s="192"/>
      <c r="AT27" s="254"/>
      <c r="AW27" s="253">
        <v>3</v>
      </c>
      <c r="AX27" s="252" t="s">
        <v>27</v>
      </c>
      <c r="AY27" s="252" t="s">
        <v>27</v>
      </c>
      <c r="AZ27" s="252" t="s">
        <v>27</v>
      </c>
      <c r="BA27" s="252" t="s">
        <v>27</v>
      </c>
      <c r="BB27" s="252" t="s">
        <v>27</v>
      </c>
      <c r="BC27" s="192"/>
      <c r="BD27" s="192"/>
      <c r="BE27" s="192"/>
      <c r="BF27" s="192"/>
      <c r="BG27" s="192"/>
      <c r="BH27" s="192"/>
      <c r="BI27" s="254"/>
      <c r="BM27" s="345" t="s">
        <v>94</v>
      </c>
      <c r="BN27" s="346"/>
      <c r="BO27" s="346"/>
      <c r="BP27" s="346"/>
      <c r="BQ27" s="346"/>
      <c r="BR27" s="346"/>
      <c r="BS27" s="346"/>
      <c r="BT27" s="346"/>
      <c r="BU27" s="346"/>
      <c r="BV27" s="346"/>
      <c r="BW27" s="346"/>
      <c r="BX27" s="346"/>
      <c r="BY27" s="347"/>
    </row>
    <row r="28" spans="5:77" ht="26.25" customHeight="1" thickBot="1" x14ac:dyDescent="0.3">
      <c r="U28" s="360" t="s">
        <v>91</v>
      </c>
      <c r="V28" s="361"/>
      <c r="W28" s="361"/>
      <c r="X28" s="361"/>
      <c r="Y28" s="362"/>
      <c r="AH28" s="259">
        <v>4</v>
      </c>
      <c r="AI28" s="260" t="s">
        <v>27</v>
      </c>
      <c r="AJ28" s="260" t="s">
        <v>27</v>
      </c>
      <c r="AK28" s="260" t="s">
        <v>27</v>
      </c>
      <c r="AL28" s="260" t="s">
        <v>27</v>
      </c>
      <c r="AM28" s="260" t="s">
        <v>27</v>
      </c>
      <c r="AN28" s="260" t="s">
        <v>27</v>
      </c>
      <c r="AO28" s="200"/>
      <c r="AP28" s="200"/>
      <c r="AQ28" s="200"/>
      <c r="AR28" s="200"/>
      <c r="AS28" s="200"/>
      <c r="AT28" s="261"/>
      <c r="AW28" s="259">
        <v>4</v>
      </c>
      <c r="AX28" s="260" t="s">
        <v>27</v>
      </c>
      <c r="AY28" s="260" t="s">
        <v>27</v>
      </c>
      <c r="AZ28" s="260" t="s">
        <v>27</v>
      </c>
      <c r="BA28" s="260" t="s">
        <v>27</v>
      </c>
      <c r="BB28" s="260" t="s">
        <v>27</v>
      </c>
      <c r="BC28" s="260" t="s">
        <v>27</v>
      </c>
      <c r="BD28" s="200"/>
      <c r="BE28" s="200"/>
      <c r="BF28" s="200"/>
      <c r="BG28" s="200"/>
      <c r="BH28" s="200"/>
      <c r="BI28" s="261"/>
      <c r="BM28" s="345" t="s">
        <v>95</v>
      </c>
      <c r="BN28" s="346"/>
      <c r="BO28" s="346"/>
      <c r="BP28" s="346"/>
      <c r="BQ28" s="346"/>
      <c r="BR28" s="346"/>
      <c r="BS28" s="346"/>
      <c r="BT28" s="346"/>
      <c r="BU28" s="346"/>
      <c r="BV28" s="346"/>
      <c r="BW28" s="346"/>
      <c r="BX28" s="346"/>
      <c r="BY28" s="347"/>
    </row>
    <row r="29" spans="5:77" ht="26.25" customHeight="1" thickBot="1" x14ac:dyDescent="0.3">
      <c r="U29" s="363" t="s">
        <v>97</v>
      </c>
      <c r="V29" s="364"/>
      <c r="W29" s="364"/>
      <c r="X29" s="364"/>
      <c r="Y29" s="365"/>
      <c r="AH29" s="251" t="s">
        <v>0</v>
      </c>
      <c r="AI29" s="210" t="s">
        <v>1</v>
      </c>
      <c r="AJ29" s="210" t="s">
        <v>2</v>
      </c>
      <c r="AK29" s="210" t="s">
        <v>3</v>
      </c>
      <c r="AL29" s="210" t="s">
        <v>4</v>
      </c>
      <c r="AM29" s="210" t="s">
        <v>5</v>
      </c>
      <c r="AN29" s="210" t="s">
        <v>6</v>
      </c>
      <c r="AO29" s="210" t="s">
        <v>7</v>
      </c>
      <c r="AP29" s="210" t="s">
        <v>8</v>
      </c>
      <c r="AQ29" s="210" t="s">
        <v>9</v>
      </c>
      <c r="AR29" s="210" t="s">
        <v>10</v>
      </c>
      <c r="AS29" s="210" t="s">
        <v>11</v>
      </c>
      <c r="AT29" s="211" t="s">
        <v>12</v>
      </c>
      <c r="AW29" s="251" t="s">
        <v>0</v>
      </c>
      <c r="AX29" s="210" t="s">
        <v>1</v>
      </c>
      <c r="AY29" s="210" t="s">
        <v>2</v>
      </c>
      <c r="AZ29" s="210" t="s">
        <v>3</v>
      </c>
      <c r="BA29" s="210" t="s">
        <v>4</v>
      </c>
      <c r="BB29" s="210" t="s">
        <v>5</v>
      </c>
      <c r="BC29" s="210" t="s">
        <v>6</v>
      </c>
      <c r="BD29" s="210" t="s">
        <v>7</v>
      </c>
      <c r="BE29" s="210" t="s">
        <v>8</v>
      </c>
      <c r="BF29" s="210" t="s">
        <v>9</v>
      </c>
      <c r="BG29" s="210" t="s">
        <v>10</v>
      </c>
      <c r="BH29" s="210" t="s">
        <v>11</v>
      </c>
      <c r="BI29" s="211" t="s">
        <v>12</v>
      </c>
      <c r="BM29" s="271" t="s">
        <v>0</v>
      </c>
      <c r="BN29" s="272" t="s">
        <v>1</v>
      </c>
      <c r="BO29" s="272" t="s">
        <v>2</v>
      </c>
      <c r="BP29" s="272" t="s">
        <v>3</v>
      </c>
      <c r="BQ29" s="272" t="s">
        <v>4</v>
      </c>
      <c r="BR29" s="272" t="s">
        <v>5</v>
      </c>
      <c r="BS29" s="272" t="s">
        <v>6</v>
      </c>
      <c r="BT29" s="272" t="s">
        <v>7</v>
      </c>
      <c r="BU29" s="272" t="s">
        <v>8</v>
      </c>
      <c r="BV29" s="272" t="s">
        <v>9</v>
      </c>
      <c r="BW29" s="272" t="s">
        <v>10</v>
      </c>
      <c r="BX29" s="272" t="s">
        <v>11</v>
      </c>
      <c r="BY29" s="273" t="s">
        <v>12</v>
      </c>
    </row>
    <row r="30" spans="5:77" ht="26.25" customHeight="1" thickBot="1" x14ac:dyDescent="0.3">
      <c r="AH30" s="212" t="s">
        <v>13</v>
      </c>
      <c r="AI30" s="213" t="s">
        <v>14</v>
      </c>
      <c r="AJ30" s="213" t="s">
        <v>15</v>
      </c>
      <c r="AK30" s="213" t="s">
        <v>16</v>
      </c>
      <c r="AL30" s="213" t="s">
        <v>17</v>
      </c>
      <c r="AM30" s="213" t="s">
        <v>18</v>
      </c>
      <c r="AN30" s="213" t="s">
        <v>19</v>
      </c>
      <c r="AO30" s="213" t="s">
        <v>20</v>
      </c>
      <c r="AP30" s="213" t="s">
        <v>21</v>
      </c>
      <c r="AQ30" s="213" t="s">
        <v>22</v>
      </c>
      <c r="AR30" s="213" t="s">
        <v>23</v>
      </c>
      <c r="AS30" s="213" t="s">
        <v>24</v>
      </c>
      <c r="AT30" s="214" t="s">
        <v>25</v>
      </c>
      <c r="AW30" s="212" t="s">
        <v>13</v>
      </c>
      <c r="AX30" s="213" t="s">
        <v>14</v>
      </c>
      <c r="AY30" s="213" t="s">
        <v>15</v>
      </c>
      <c r="AZ30" s="213" t="s">
        <v>16</v>
      </c>
      <c r="BA30" s="213" t="s">
        <v>17</v>
      </c>
      <c r="BB30" s="213" t="s">
        <v>18</v>
      </c>
      <c r="BC30" s="213" t="s">
        <v>19</v>
      </c>
      <c r="BD30" s="213" t="s">
        <v>20</v>
      </c>
      <c r="BE30" s="213" t="s">
        <v>21</v>
      </c>
      <c r="BF30" s="213" t="s">
        <v>22</v>
      </c>
      <c r="BG30" s="213" t="s">
        <v>23</v>
      </c>
      <c r="BH30" s="213" t="s">
        <v>24</v>
      </c>
      <c r="BI30" s="214" t="s">
        <v>25</v>
      </c>
      <c r="BM30" s="274" t="s">
        <v>13</v>
      </c>
      <c r="BN30" s="275" t="s">
        <v>14</v>
      </c>
      <c r="BO30" s="275" t="s">
        <v>15</v>
      </c>
      <c r="BP30" s="275" t="s">
        <v>16</v>
      </c>
      <c r="BQ30" s="275" t="s">
        <v>17</v>
      </c>
      <c r="BR30" s="275" t="s">
        <v>18</v>
      </c>
      <c r="BS30" s="275" t="s">
        <v>19</v>
      </c>
      <c r="BT30" s="275" t="s">
        <v>20</v>
      </c>
      <c r="BU30" s="275" t="s">
        <v>21</v>
      </c>
      <c r="BV30" s="275" t="s">
        <v>22</v>
      </c>
      <c r="BW30" s="275" t="s">
        <v>23</v>
      </c>
      <c r="BX30" s="275" t="s">
        <v>24</v>
      </c>
      <c r="BY30" s="276" t="s">
        <v>25</v>
      </c>
    </row>
    <row r="31" spans="5:77" ht="26.25" customHeight="1" x14ac:dyDescent="0.25">
      <c r="AH31" s="218"/>
      <c r="AI31" s="219" t="s">
        <v>0</v>
      </c>
      <c r="AJ31" s="219" t="s">
        <v>1</v>
      </c>
      <c r="AK31" s="219" t="s">
        <v>2</v>
      </c>
      <c r="AL31" s="219" t="s">
        <v>3</v>
      </c>
      <c r="AM31" s="219" t="s">
        <v>4</v>
      </c>
      <c r="AN31" s="219" t="s">
        <v>5</v>
      </c>
      <c r="AO31" s="219" t="s">
        <v>6</v>
      </c>
      <c r="AP31" s="219" t="s">
        <v>7</v>
      </c>
      <c r="AQ31" s="219" t="s">
        <v>8</v>
      </c>
      <c r="AR31" s="219" t="s">
        <v>9</v>
      </c>
      <c r="AS31" s="219" t="s">
        <v>10</v>
      </c>
      <c r="AT31" s="222" t="s">
        <v>11</v>
      </c>
      <c r="AW31" s="218"/>
      <c r="AX31" s="219" t="s">
        <v>0</v>
      </c>
      <c r="AY31" s="219" t="s">
        <v>1</v>
      </c>
      <c r="AZ31" s="219" t="s">
        <v>2</v>
      </c>
      <c r="BA31" s="219" t="s">
        <v>3</v>
      </c>
      <c r="BB31" s="219" t="s">
        <v>4</v>
      </c>
      <c r="BC31" s="219" t="s">
        <v>5</v>
      </c>
      <c r="BD31" s="219" t="s">
        <v>6</v>
      </c>
      <c r="BE31" s="219" t="s">
        <v>7</v>
      </c>
      <c r="BF31" s="219" t="s">
        <v>8</v>
      </c>
      <c r="BG31" s="219" t="s">
        <v>9</v>
      </c>
      <c r="BH31" s="219" t="s">
        <v>10</v>
      </c>
      <c r="BI31" s="222" t="s">
        <v>11</v>
      </c>
      <c r="BM31" s="268"/>
      <c r="BN31" s="269" t="s">
        <v>0</v>
      </c>
      <c r="BO31" s="269" t="s">
        <v>1</v>
      </c>
      <c r="BP31" s="269" t="s">
        <v>2</v>
      </c>
      <c r="BQ31" s="269" t="s">
        <v>3</v>
      </c>
      <c r="BR31" s="269" t="s">
        <v>4</v>
      </c>
      <c r="BS31" s="269" t="s">
        <v>5</v>
      </c>
      <c r="BT31" s="269" t="s">
        <v>6</v>
      </c>
      <c r="BU31" s="269" t="s">
        <v>7</v>
      </c>
      <c r="BV31" s="183" t="s">
        <v>8</v>
      </c>
      <c r="BW31" s="183" t="s">
        <v>9</v>
      </c>
      <c r="BX31" s="183" t="s">
        <v>10</v>
      </c>
      <c r="BY31" s="270" t="s">
        <v>11</v>
      </c>
    </row>
    <row r="32" spans="5:77" ht="26.25" customHeight="1" x14ac:dyDescent="0.25">
      <c r="AH32" s="223">
        <v>1</v>
      </c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225"/>
      <c r="AW32" s="223">
        <v>1</v>
      </c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225"/>
      <c r="BM32" s="262">
        <v>1</v>
      </c>
      <c r="BN32" s="162"/>
      <c r="BO32" s="162"/>
      <c r="BP32" s="162"/>
      <c r="BQ32" s="162"/>
      <c r="BR32" s="162"/>
      <c r="BS32" s="162"/>
      <c r="BT32" s="162"/>
      <c r="BU32" s="162"/>
      <c r="BV32" s="195"/>
      <c r="BW32" s="195"/>
      <c r="BX32" s="195"/>
      <c r="BY32" s="263"/>
    </row>
    <row r="33" spans="34:77" ht="26.25" customHeight="1" x14ac:dyDescent="0.25">
      <c r="AH33" s="223">
        <v>2</v>
      </c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225"/>
      <c r="AW33" s="223">
        <v>2</v>
      </c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225"/>
      <c r="BM33" s="262">
        <v>2</v>
      </c>
      <c r="BN33" s="162"/>
      <c r="BO33" s="162"/>
      <c r="BP33" s="162"/>
      <c r="BQ33" s="162"/>
      <c r="BR33" s="162"/>
      <c r="BS33" s="162"/>
      <c r="BT33" s="162"/>
      <c r="BU33" s="162"/>
      <c r="BV33" s="195"/>
      <c r="BW33" s="195"/>
      <c r="BX33" s="195"/>
      <c r="BY33" s="263"/>
    </row>
    <row r="34" spans="34:77" ht="26.25" customHeight="1" x14ac:dyDescent="0.25">
      <c r="AH34" s="223">
        <v>3</v>
      </c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225"/>
      <c r="AW34" s="223">
        <v>3</v>
      </c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225"/>
      <c r="BM34" s="262">
        <v>3</v>
      </c>
      <c r="BN34" s="162"/>
      <c r="BO34" s="162"/>
      <c r="BP34" s="162"/>
      <c r="BQ34" s="162"/>
      <c r="BR34" s="162"/>
      <c r="BS34" s="162"/>
      <c r="BT34" s="162"/>
      <c r="BU34" s="162"/>
      <c r="BV34" s="195"/>
      <c r="BW34" s="195"/>
      <c r="BX34" s="195"/>
      <c r="BY34" s="263"/>
    </row>
    <row r="35" spans="34:77" ht="26.25" customHeight="1" x14ac:dyDescent="0.25">
      <c r="AH35" s="223">
        <v>4</v>
      </c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225"/>
      <c r="AW35" s="223">
        <v>4</v>
      </c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225"/>
      <c r="BM35" s="262">
        <v>4</v>
      </c>
      <c r="BN35" s="162"/>
      <c r="BO35" s="162"/>
      <c r="BP35" s="162"/>
      <c r="BQ35" s="162"/>
      <c r="BR35" s="162"/>
      <c r="BS35" s="162"/>
      <c r="BT35" s="162"/>
      <c r="BU35" s="162"/>
      <c r="BV35" s="195"/>
      <c r="BW35" s="195"/>
      <c r="BX35" s="195"/>
      <c r="BY35" s="263"/>
    </row>
    <row r="36" spans="34:77" ht="26.25" customHeight="1" x14ac:dyDescent="0.25">
      <c r="AH36" s="223">
        <v>5</v>
      </c>
      <c r="AI36" s="162"/>
      <c r="AJ36" s="228"/>
      <c r="AK36" s="162"/>
      <c r="AL36" s="162"/>
      <c r="AM36" s="162"/>
      <c r="AN36" s="162"/>
      <c r="AO36" s="162"/>
      <c r="AP36" s="162"/>
      <c r="AQ36" s="162"/>
      <c r="AR36" s="162"/>
      <c r="AS36" s="162"/>
      <c r="AT36" s="225"/>
      <c r="AW36" s="223">
        <v>5</v>
      </c>
      <c r="AX36" s="162"/>
      <c r="AY36" s="228"/>
      <c r="AZ36" s="162"/>
      <c r="BA36" s="162"/>
      <c r="BB36" s="162"/>
      <c r="BC36" s="162"/>
      <c r="BD36" s="162"/>
      <c r="BE36" s="162"/>
      <c r="BF36" s="162"/>
      <c r="BG36" s="162"/>
      <c r="BH36" s="162"/>
      <c r="BI36" s="225"/>
      <c r="BM36" s="262">
        <v>5</v>
      </c>
      <c r="BN36" s="162"/>
      <c r="BO36" s="228"/>
      <c r="BP36" s="162"/>
      <c r="BQ36" s="162"/>
      <c r="BR36" s="162"/>
      <c r="BS36" s="162"/>
      <c r="BT36" s="162"/>
      <c r="BU36" s="162"/>
      <c r="BV36" s="195"/>
      <c r="BW36" s="195"/>
      <c r="BX36" s="195"/>
      <c r="BY36" s="263"/>
    </row>
    <row r="37" spans="34:77" ht="26.25" customHeight="1" x14ac:dyDescent="0.25">
      <c r="AH37" s="223">
        <v>6</v>
      </c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225"/>
      <c r="AW37" s="223">
        <v>6</v>
      </c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225"/>
      <c r="BM37" s="262">
        <v>6</v>
      </c>
      <c r="BN37" s="162"/>
      <c r="BO37" s="162"/>
      <c r="BP37" s="162"/>
      <c r="BQ37" s="162"/>
      <c r="BR37" s="162"/>
      <c r="BS37" s="162"/>
      <c r="BT37" s="162"/>
      <c r="BU37" s="162"/>
      <c r="BV37" s="195"/>
      <c r="BW37" s="195"/>
      <c r="BX37" s="195"/>
      <c r="BY37" s="263"/>
    </row>
    <row r="38" spans="34:77" ht="26.25" customHeight="1" x14ac:dyDescent="0.25">
      <c r="AH38" s="223">
        <v>7</v>
      </c>
      <c r="AI38" s="162"/>
      <c r="AJ38" s="228"/>
      <c r="AK38" s="162"/>
      <c r="AL38" s="162"/>
      <c r="AM38" s="162"/>
      <c r="AN38" s="162"/>
      <c r="AO38" s="162"/>
      <c r="AP38" s="162"/>
      <c r="AQ38" s="162"/>
      <c r="AR38" s="162"/>
      <c r="AS38" s="162"/>
      <c r="AT38" s="225"/>
      <c r="AW38" s="223">
        <v>7</v>
      </c>
      <c r="AX38" s="162"/>
      <c r="AY38" s="228"/>
      <c r="AZ38" s="162"/>
      <c r="BA38" s="162"/>
      <c r="BB38" s="162"/>
      <c r="BC38" s="162"/>
      <c r="BD38" s="162"/>
      <c r="BE38" s="162"/>
      <c r="BF38" s="162"/>
      <c r="BG38" s="162"/>
      <c r="BH38" s="162"/>
      <c r="BI38" s="225"/>
      <c r="BM38" s="262">
        <v>7</v>
      </c>
      <c r="BN38" s="162"/>
      <c r="BO38" s="228"/>
      <c r="BP38" s="162"/>
      <c r="BQ38" s="162"/>
      <c r="BR38" s="162"/>
      <c r="BS38" s="162"/>
      <c r="BT38" s="162"/>
      <c r="BU38" s="162"/>
      <c r="BV38" s="195"/>
      <c r="BW38" s="195"/>
      <c r="BX38" s="195"/>
      <c r="BY38" s="263"/>
    </row>
    <row r="39" spans="34:77" ht="26.25" customHeight="1" x14ac:dyDescent="0.25">
      <c r="AH39" s="223">
        <v>8</v>
      </c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225"/>
      <c r="AW39" s="223">
        <v>8</v>
      </c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225"/>
      <c r="BM39" s="262">
        <v>8</v>
      </c>
      <c r="BN39" s="162"/>
      <c r="BO39" s="162"/>
      <c r="BP39" s="162"/>
      <c r="BQ39" s="162"/>
      <c r="BR39" s="162"/>
      <c r="BS39" s="162"/>
      <c r="BT39" s="162"/>
      <c r="BU39" s="162"/>
      <c r="BV39" s="195"/>
      <c r="BW39" s="195"/>
      <c r="BX39" s="195"/>
      <c r="BY39" s="263"/>
    </row>
    <row r="40" spans="34:77" ht="26.25" customHeight="1" x14ac:dyDescent="0.25">
      <c r="AH40" s="223">
        <v>9</v>
      </c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225"/>
      <c r="AW40" s="223">
        <v>9</v>
      </c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225"/>
      <c r="BM40" s="264">
        <v>9</v>
      </c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263"/>
    </row>
    <row r="41" spans="34:77" ht="26.25" customHeight="1" x14ac:dyDescent="0.25">
      <c r="AH41" s="223">
        <v>10</v>
      </c>
      <c r="AI41" s="162"/>
      <c r="AJ41" s="228"/>
      <c r="AK41" s="162"/>
      <c r="AL41" s="162"/>
      <c r="AM41" s="162"/>
      <c r="AN41" s="162"/>
      <c r="AO41" s="162"/>
      <c r="AP41" s="162"/>
      <c r="AQ41" s="162"/>
      <c r="AR41" s="162"/>
      <c r="AS41" s="162"/>
      <c r="AT41" s="225"/>
      <c r="AW41" s="223">
        <v>10</v>
      </c>
      <c r="AX41" s="162"/>
      <c r="AY41" s="228"/>
      <c r="AZ41" s="162"/>
      <c r="BA41" s="162"/>
      <c r="BB41" s="162"/>
      <c r="BC41" s="162"/>
      <c r="BD41" s="162"/>
      <c r="BE41" s="162"/>
      <c r="BF41" s="162"/>
      <c r="BG41" s="162"/>
      <c r="BH41" s="162"/>
      <c r="BI41" s="225"/>
      <c r="BM41" s="264">
        <v>10</v>
      </c>
      <c r="BN41" s="195"/>
      <c r="BO41" s="243"/>
      <c r="BP41" s="195"/>
      <c r="BQ41" s="195"/>
      <c r="BR41" s="195"/>
      <c r="BS41" s="195"/>
      <c r="BT41" s="195"/>
      <c r="BU41" s="195"/>
      <c r="BV41" s="195"/>
      <c r="BW41" s="195"/>
      <c r="BX41" s="195"/>
      <c r="BY41" s="263"/>
    </row>
    <row r="42" spans="34:77" ht="26.25" customHeight="1" x14ac:dyDescent="0.25">
      <c r="AH42" s="223">
        <v>11</v>
      </c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225"/>
      <c r="AW42" s="223">
        <v>11</v>
      </c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225"/>
      <c r="BM42" s="264">
        <v>11</v>
      </c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263"/>
    </row>
    <row r="43" spans="34:77" ht="26.25" customHeight="1" thickBot="1" x14ac:dyDescent="0.3">
      <c r="AH43" s="230">
        <v>12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4"/>
      <c r="AW43" s="230">
        <v>12</v>
      </c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4"/>
      <c r="BM43" s="265">
        <v>12</v>
      </c>
      <c r="BN43" s="266"/>
      <c r="BO43" s="266"/>
      <c r="BP43" s="266"/>
      <c r="BQ43" s="266"/>
      <c r="BR43" s="266"/>
      <c r="BS43" s="266"/>
      <c r="BT43" s="266"/>
      <c r="BU43" s="266"/>
      <c r="BV43" s="266"/>
      <c r="BW43" s="266"/>
      <c r="BX43" s="266"/>
      <c r="BY43" s="267"/>
    </row>
  </sheetData>
  <mergeCells count="17">
    <mergeCell ref="AH24:AT24"/>
    <mergeCell ref="AW24:BI24"/>
    <mergeCell ref="U26:Y26"/>
    <mergeCell ref="U27:Y27"/>
    <mergeCell ref="U28:Y28"/>
    <mergeCell ref="U29:Y29"/>
    <mergeCell ref="T2:AF2"/>
    <mergeCell ref="E3:Q3"/>
    <mergeCell ref="E4:Q4"/>
    <mergeCell ref="E5:Q5"/>
    <mergeCell ref="E6:Q6"/>
    <mergeCell ref="E2:Q2"/>
    <mergeCell ref="BM24:BY24"/>
    <mergeCell ref="BM25:BY25"/>
    <mergeCell ref="BM26:BY26"/>
    <mergeCell ref="BM27:BY27"/>
    <mergeCell ref="BM28:BY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E39-867A-4CA5-A71B-8232075FF22C}">
  <dimension ref="C3:S28"/>
  <sheetViews>
    <sheetView zoomScale="55" zoomScaleNormal="55" workbookViewId="0">
      <selection activeCell="Q4" sqref="Q4"/>
    </sheetView>
  </sheetViews>
  <sheetFormatPr defaultRowHeight="15" x14ac:dyDescent="0.25"/>
  <sheetData>
    <row r="3" spans="3:19" ht="15.75" thickBot="1" x14ac:dyDescent="0.3"/>
    <row r="4" spans="3:19" ht="21.75" thickBot="1" x14ac:dyDescent="0.3">
      <c r="C4" s="372" t="s">
        <v>26</v>
      </c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4"/>
      <c r="P4" s="30"/>
      <c r="Q4" s="30"/>
      <c r="R4" s="30"/>
      <c r="S4" s="30"/>
    </row>
    <row r="5" spans="3:19" ht="21" x14ac:dyDescent="0.25">
      <c r="C5" s="21"/>
      <c r="D5" s="23" t="s">
        <v>0</v>
      </c>
      <c r="E5" s="23" t="s">
        <v>1</v>
      </c>
      <c r="F5" s="23" t="s">
        <v>2</v>
      </c>
      <c r="G5" s="23" t="s">
        <v>3</v>
      </c>
      <c r="H5" s="23" t="s">
        <v>4</v>
      </c>
      <c r="I5" s="23" t="s">
        <v>5</v>
      </c>
      <c r="J5" s="23" t="s">
        <v>6</v>
      </c>
      <c r="K5" s="24" t="s">
        <v>7</v>
      </c>
      <c r="L5" s="3"/>
      <c r="M5" s="33"/>
      <c r="N5" s="14" t="s">
        <v>29</v>
      </c>
      <c r="O5" s="34"/>
    </row>
    <row r="6" spans="3:19" ht="27" thickBot="1" x14ac:dyDescent="0.3">
      <c r="C6" s="25">
        <v>1</v>
      </c>
      <c r="D6" s="6"/>
      <c r="E6" s="6"/>
      <c r="F6" s="6"/>
      <c r="G6" s="6"/>
      <c r="H6" s="6" t="s">
        <v>6</v>
      </c>
      <c r="I6" s="6"/>
      <c r="J6" s="6"/>
      <c r="K6" s="7"/>
      <c r="L6" s="3"/>
      <c r="M6" s="375" t="s">
        <v>32</v>
      </c>
      <c r="N6" s="376"/>
      <c r="O6" s="377"/>
    </row>
    <row r="7" spans="3:19" ht="21" x14ac:dyDescent="0.25">
      <c r="C7" s="25">
        <v>2</v>
      </c>
      <c r="D7" s="6"/>
      <c r="E7" s="6"/>
      <c r="F7" s="6" t="s">
        <v>2</v>
      </c>
      <c r="G7" s="6"/>
      <c r="H7" s="35" t="s">
        <v>14</v>
      </c>
      <c r="I7" s="6"/>
      <c r="J7" s="6"/>
      <c r="K7" s="38"/>
      <c r="L7" s="3"/>
      <c r="M7" s="1"/>
      <c r="N7" s="4" t="s">
        <v>30</v>
      </c>
      <c r="O7" s="2"/>
    </row>
    <row r="8" spans="3:19" ht="27" thickBot="1" x14ac:dyDescent="0.3">
      <c r="C8" s="25">
        <v>3</v>
      </c>
      <c r="D8" s="36"/>
      <c r="E8" s="36"/>
      <c r="F8" s="35" t="s">
        <v>17</v>
      </c>
      <c r="G8" s="12"/>
      <c r="H8" s="12" t="s">
        <v>22</v>
      </c>
      <c r="I8" s="12"/>
      <c r="J8" s="12"/>
      <c r="K8" s="7"/>
      <c r="L8" s="3"/>
      <c r="M8" s="375" t="s">
        <v>33</v>
      </c>
      <c r="N8" s="376"/>
      <c r="O8" s="377"/>
    </row>
    <row r="9" spans="3:19" ht="21" x14ac:dyDescent="0.25">
      <c r="C9" s="25">
        <v>4</v>
      </c>
      <c r="D9" s="12"/>
      <c r="E9" s="12"/>
      <c r="F9" s="35" t="s">
        <v>14</v>
      </c>
      <c r="G9" s="12" t="s">
        <v>22</v>
      </c>
      <c r="H9" s="35" t="s">
        <v>13</v>
      </c>
      <c r="I9" s="12"/>
      <c r="J9" s="12"/>
      <c r="K9" s="7"/>
      <c r="L9" s="3"/>
      <c r="M9" s="1"/>
      <c r="N9" s="4" t="s">
        <v>31</v>
      </c>
      <c r="O9" s="2"/>
    </row>
    <row r="10" spans="3:19" ht="27" thickBot="1" x14ac:dyDescent="0.3">
      <c r="C10" s="25">
        <v>5</v>
      </c>
      <c r="D10" s="12"/>
      <c r="E10" s="13"/>
      <c r="F10" s="35" t="s">
        <v>22</v>
      </c>
      <c r="G10" s="12"/>
      <c r="H10" s="36"/>
      <c r="I10" s="12"/>
      <c r="J10" s="36"/>
      <c r="K10" s="7"/>
      <c r="L10" s="3"/>
      <c r="M10" s="375" t="s">
        <v>34</v>
      </c>
      <c r="N10" s="376"/>
      <c r="O10" s="377"/>
    </row>
    <row r="11" spans="3:19" ht="21" x14ac:dyDescent="0.25">
      <c r="C11" s="25">
        <v>6</v>
      </c>
      <c r="D11" s="12"/>
      <c r="E11" s="12"/>
      <c r="F11" s="35" t="s">
        <v>13</v>
      </c>
      <c r="G11" s="12"/>
      <c r="H11" s="12"/>
      <c r="I11" s="12"/>
      <c r="J11" s="12"/>
      <c r="K11" s="7"/>
      <c r="L11" s="3"/>
      <c r="M11" s="378" t="s">
        <v>35</v>
      </c>
      <c r="N11" s="379"/>
      <c r="O11" s="380"/>
    </row>
    <row r="12" spans="3:19" ht="27" thickBot="1" x14ac:dyDescent="0.3">
      <c r="C12" s="25">
        <v>7</v>
      </c>
      <c r="D12" s="36"/>
      <c r="E12" s="12"/>
      <c r="F12" s="12"/>
      <c r="G12" s="36"/>
      <c r="H12" s="12"/>
      <c r="I12" s="36"/>
      <c r="J12" s="12"/>
      <c r="K12" s="38"/>
      <c r="L12" s="3"/>
      <c r="M12" s="375">
        <v>15</v>
      </c>
      <c r="N12" s="376"/>
      <c r="O12" s="377"/>
    </row>
    <row r="13" spans="3:19" ht="21.75" thickBot="1" x14ac:dyDescent="0.3">
      <c r="C13" s="26">
        <v>8</v>
      </c>
      <c r="D13" s="9"/>
      <c r="E13" s="9"/>
      <c r="F13" s="9"/>
      <c r="G13" s="9"/>
      <c r="H13" s="9"/>
      <c r="I13" s="9"/>
      <c r="J13" s="9"/>
      <c r="K13" s="10"/>
      <c r="L13" s="27"/>
      <c r="M13" s="27"/>
      <c r="N13" s="27"/>
      <c r="O13" s="37"/>
    </row>
    <row r="14" spans="3:19" ht="21.75" thickBot="1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3:19" ht="21.75" thickBot="1" x14ac:dyDescent="0.3">
      <c r="C15" s="372" t="s">
        <v>28</v>
      </c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4"/>
      <c r="P15" s="30"/>
      <c r="Q15" s="30"/>
      <c r="R15" s="30"/>
      <c r="S15" s="30"/>
    </row>
    <row r="16" spans="3:19" ht="21.75" thickBot="1" x14ac:dyDescent="0.3">
      <c r="C16" s="19">
        <v>1</v>
      </c>
      <c r="D16" s="27" t="s">
        <v>27</v>
      </c>
      <c r="E16" s="27" t="s">
        <v>27</v>
      </c>
      <c r="F16" s="27" t="s">
        <v>6</v>
      </c>
      <c r="G16" s="28"/>
      <c r="H16" s="28"/>
      <c r="I16" s="28"/>
      <c r="J16" s="28"/>
      <c r="K16" s="29"/>
      <c r="L16" s="3"/>
      <c r="M16" s="41" t="s">
        <v>0</v>
      </c>
      <c r="N16" s="14" t="s">
        <v>1</v>
      </c>
      <c r="O16" s="20" t="s">
        <v>2</v>
      </c>
    </row>
    <row r="17" spans="3:15" ht="21.75" thickBot="1" x14ac:dyDescent="0.3">
      <c r="C17" s="15">
        <v>2</v>
      </c>
      <c r="D17" s="16" t="s">
        <v>27</v>
      </c>
      <c r="E17" s="16" t="s">
        <v>27</v>
      </c>
      <c r="F17" s="16" t="s">
        <v>0</v>
      </c>
      <c r="G17" s="16" t="s">
        <v>19</v>
      </c>
      <c r="H17" s="17"/>
      <c r="I17" s="17"/>
      <c r="J17" s="17"/>
      <c r="K17" s="18"/>
      <c r="L17" s="3"/>
      <c r="M17" s="6" t="s">
        <v>3</v>
      </c>
      <c r="N17" s="35" t="s">
        <v>4</v>
      </c>
      <c r="O17" s="7" t="s">
        <v>5</v>
      </c>
    </row>
    <row r="18" spans="3:15" ht="21.75" thickBot="1" x14ac:dyDescent="0.3">
      <c r="C18" s="15">
        <v>3</v>
      </c>
      <c r="D18" s="16" t="s">
        <v>11</v>
      </c>
      <c r="E18" s="16" t="s">
        <v>0</v>
      </c>
      <c r="F18" s="16" t="s">
        <v>17</v>
      </c>
      <c r="G18" s="16" t="s">
        <v>6</v>
      </c>
      <c r="H18" s="16" t="s">
        <v>4</v>
      </c>
      <c r="I18" s="17"/>
      <c r="J18" s="17"/>
      <c r="K18" s="18"/>
      <c r="L18" s="3"/>
      <c r="M18" s="35" t="s">
        <v>6</v>
      </c>
      <c r="N18" s="36" t="s">
        <v>7</v>
      </c>
      <c r="O18" s="38" t="s">
        <v>8</v>
      </c>
    </row>
    <row r="19" spans="3:15" ht="21" x14ac:dyDescent="0.25">
      <c r="C19" s="22"/>
      <c r="D19" s="23" t="s">
        <v>0</v>
      </c>
      <c r="E19" s="23" t="s">
        <v>1</v>
      </c>
      <c r="F19" s="23" t="s">
        <v>2</v>
      </c>
      <c r="G19" s="23" t="s">
        <v>3</v>
      </c>
      <c r="H19" s="23" t="s">
        <v>4</v>
      </c>
      <c r="I19" s="23" t="s">
        <v>5</v>
      </c>
      <c r="J19" s="23" t="s">
        <v>6</v>
      </c>
      <c r="K19" s="24" t="s">
        <v>7</v>
      </c>
      <c r="L19" s="3"/>
      <c r="M19" s="6" t="s">
        <v>9</v>
      </c>
      <c r="N19" s="6" t="s">
        <v>10</v>
      </c>
      <c r="O19" s="40" t="s">
        <v>11</v>
      </c>
    </row>
    <row r="20" spans="3:15" ht="21" x14ac:dyDescent="0.25">
      <c r="C20" s="25">
        <v>1</v>
      </c>
      <c r="D20" s="6"/>
      <c r="E20" s="6"/>
      <c r="F20" s="6"/>
      <c r="G20" s="6"/>
      <c r="H20" s="6"/>
      <c r="I20" s="6"/>
      <c r="J20" s="6"/>
      <c r="K20" s="7"/>
      <c r="L20" s="3"/>
      <c r="M20" s="12" t="s">
        <v>12</v>
      </c>
      <c r="N20" s="12" t="s">
        <v>13</v>
      </c>
      <c r="O20" s="7" t="s">
        <v>14</v>
      </c>
    </row>
    <row r="21" spans="3:15" ht="21" x14ac:dyDescent="0.25">
      <c r="C21" s="25">
        <v>2</v>
      </c>
      <c r="D21" s="6"/>
      <c r="E21" s="6"/>
      <c r="F21" s="35" t="s">
        <v>1</v>
      </c>
      <c r="G21" s="6"/>
      <c r="H21" s="6"/>
      <c r="I21" s="6"/>
      <c r="J21" s="6"/>
      <c r="K21" s="7"/>
      <c r="L21" s="3"/>
      <c r="M21" s="6" t="s">
        <v>15</v>
      </c>
      <c r="N21" s="6" t="s">
        <v>16</v>
      </c>
      <c r="O21" s="40" t="s">
        <v>17</v>
      </c>
    </row>
    <row r="22" spans="3:15" ht="21" x14ac:dyDescent="0.25">
      <c r="C22" s="25">
        <v>3</v>
      </c>
      <c r="D22" s="36"/>
      <c r="E22" s="36"/>
      <c r="F22" s="35" t="s">
        <v>14</v>
      </c>
      <c r="G22" s="36"/>
      <c r="H22" s="6"/>
      <c r="I22" s="6"/>
      <c r="J22" s="6"/>
      <c r="K22" s="7"/>
      <c r="L22" s="3"/>
      <c r="M22" s="36" t="s">
        <v>18</v>
      </c>
      <c r="N22" s="35" t="s">
        <v>19</v>
      </c>
      <c r="O22" s="7" t="s">
        <v>20</v>
      </c>
    </row>
    <row r="23" spans="3:15" ht="21" x14ac:dyDescent="0.25">
      <c r="C23" s="25">
        <v>4</v>
      </c>
      <c r="D23" s="6"/>
      <c r="E23" s="36"/>
      <c r="F23" s="35" t="s">
        <v>0</v>
      </c>
      <c r="G23" s="36"/>
      <c r="H23" s="35" t="s">
        <v>11</v>
      </c>
      <c r="I23" s="6"/>
      <c r="J23" s="6"/>
      <c r="K23" s="7"/>
      <c r="L23" s="3"/>
      <c r="M23" s="6" t="s">
        <v>21</v>
      </c>
      <c r="N23" s="6" t="s">
        <v>22</v>
      </c>
      <c r="O23" s="7" t="s">
        <v>23</v>
      </c>
    </row>
    <row r="24" spans="3:15" ht="21" x14ac:dyDescent="0.25">
      <c r="C24" s="25">
        <v>5</v>
      </c>
      <c r="D24" s="36"/>
      <c r="E24" s="36"/>
      <c r="F24" s="35" t="s">
        <v>19</v>
      </c>
      <c r="G24" s="35" t="s">
        <v>0</v>
      </c>
      <c r="H24" s="36"/>
      <c r="I24" s="6"/>
      <c r="J24" s="36"/>
      <c r="K24" s="7"/>
      <c r="L24" s="3"/>
      <c r="M24" s="6" t="s">
        <v>24</v>
      </c>
      <c r="N24" s="6" t="s">
        <v>25</v>
      </c>
      <c r="O24" s="31"/>
    </row>
    <row r="25" spans="3:15" ht="21" x14ac:dyDescent="0.25">
      <c r="C25" s="25">
        <v>6</v>
      </c>
      <c r="D25" s="6"/>
      <c r="E25" s="6"/>
      <c r="F25" s="35" t="s">
        <v>17</v>
      </c>
      <c r="G25" s="36"/>
      <c r="H25" s="6"/>
      <c r="I25" s="6"/>
      <c r="J25" s="6"/>
      <c r="K25" s="7"/>
      <c r="L25" s="3"/>
      <c r="M25" s="3"/>
      <c r="N25" s="3"/>
      <c r="O25" s="11"/>
    </row>
    <row r="26" spans="3:15" ht="21" x14ac:dyDescent="0.25">
      <c r="C26" s="25">
        <v>7</v>
      </c>
      <c r="D26" s="6"/>
      <c r="E26" s="35" t="s">
        <v>6</v>
      </c>
      <c r="F26" s="6"/>
      <c r="G26" s="6"/>
      <c r="H26" s="36"/>
      <c r="I26" s="6"/>
      <c r="J26" s="6"/>
      <c r="K26" s="7"/>
      <c r="L26" s="3"/>
      <c r="M26" s="3"/>
      <c r="N26" s="3"/>
      <c r="O26" s="11"/>
    </row>
    <row r="27" spans="3:15" ht="21.75" thickBot="1" x14ac:dyDescent="0.3">
      <c r="C27" s="26">
        <v>8</v>
      </c>
      <c r="D27" s="39" t="s">
        <v>4</v>
      </c>
      <c r="E27" s="9"/>
      <c r="F27" s="9"/>
      <c r="G27" s="42"/>
      <c r="H27" s="9"/>
      <c r="I27" s="9"/>
      <c r="J27" s="9"/>
      <c r="K27" s="10"/>
      <c r="L27" s="27"/>
      <c r="M27" s="27"/>
      <c r="N27" s="27"/>
      <c r="O27" s="32"/>
    </row>
    <row r="28" spans="3:15" ht="21" x14ac:dyDescent="0.25">
      <c r="M28" s="3"/>
      <c r="N28" s="3"/>
      <c r="O28" s="3"/>
    </row>
  </sheetData>
  <mergeCells count="7">
    <mergeCell ref="C15:O15"/>
    <mergeCell ref="M12:O12"/>
    <mergeCell ref="M11:O11"/>
    <mergeCell ref="C4:O4"/>
    <mergeCell ref="M6:O6"/>
    <mergeCell ref="M8:O8"/>
    <mergeCell ref="M10:O1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9B8D-5173-43D6-AFA7-2E33470700D3}">
  <dimension ref="B1:Q35"/>
  <sheetViews>
    <sheetView topLeftCell="A4" zoomScale="85" zoomScaleNormal="85" workbookViewId="0">
      <selection activeCell="AG2" sqref="AG2:AO34"/>
    </sheetView>
  </sheetViews>
  <sheetFormatPr defaultColWidth="3.42578125" defaultRowHeight="18" customHeight="1" x14ac:dyDescent="0.2"/>
  <cols>
    <col min="1" max="1" width="5.85546875" style="46" customWidth="1"/>
    <col min="2" max="2" width="1" style="46" customWidth="1"/>
    <col min="3" max="3" width="3.42578125" style="46" customWidth="1"/>
    <col min="4" max="11" width="3.42578125" style="46"/>
    <col min="12" max="12" width="0.42578125" style="46" customWidth="1"/>
    <col min="13" max="16" width="3.42578125" style="46"/>
    <col min="17" max="17" width="0.7109375" style="46" customWidth="1"/>
    <col min="18" max="16384" width="3.42578125" style="46"/>
  </cols>
  <sheetData>
    <row r="1" spans="2:17" ht="4.5" customHeight="1" thickBot="1" x14ac:dyDescent="0.25"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5"/>
    </row>
    <row r="2" spans="2:17" ht="18" customHeight="1" thickBot="1" x14ac:dyDescent="0.25">
      <c r="B2" s="47"/>
      <c r="C2" s="399" t="s">
        <v>26</v>
      </c>
      <c r="D2" s="400"/>
      <c r="E2" s="400"/>
      <c r="F2" s="400"/>
      <c r="G2" s="400"/>
      <c r="H2" s="400"/>
      <c r="I2" s="400"/>
      <c r="J2" s="400"/>
      <c r="K2" s="401"/>
      <c r="L2" s="52"/>
      <c r="M2" s="52"/>
      <c r="N2" s="52"/>
      <c r="O2" s="52"/>
      <c r="P2" s="52"/>
      <c r="Q2" s="48"/>
    </row>
    <row r="3" spans="2:17" ht="18" customHeight="1" thickBot="1" x14ac:dyDescent="0.25">
      <c r="B3" s="47"/>
      <c r="C3" s="86" t="s">
        <v>0</v>
      </c>
      <c r="D3" s="87" t="s">
        <v>1</v>
      </c>
      <c r="E3" s="87" t="s">
        <v>2</v>
      </c>
      <c r="F3" s="87" t="s">
        <v>3</v>
      </c>
      <c r="G3" s="87" t="s">
        <v>4</v>
      </c>
      <c r="H3" s="87" t="s">
        <v>5</v>
      </c>
      <c r="I3" s="87" t="s">
        <v>6</v>
      </c>
      <c r="J3" s="87" t="s">
        <v>7</v>
      </c>
      <c r="K3" s="88" t="s">
        <v>8</v>
      </c>
      <c r="L3" s="52"/>
      <c r="M3" s="52"/>
      <c r="N3" s="52"/>
      <c r="O3" s="52"/>
      <c r="P3" s="52"/>
      <c r="Q3" s="48"/>
    </row>
    <row r="4" spans="2:17" ht="18" customHeight="1" thickBot="1" x14ac:dyDescent="0.25">
      <c r="B4" s="43"/>
      <c r="C4" s="89" t="s">
        <v>9</v>
      </c>
      <c r="D4" s="57" t="s">
        <v>10</v>
      </c>
      <c r="E4" s="95" t="s">
        <v>11</v>
      </c>
      <c r="F4" s="57" t="s">
        <v>12</v>
      </c>
      <c r="G4" s="80" t="s">
        <v>13</v>
      </c>
      <c r="H4" s="80" t="s">
        <v>14</v>
      </c>
      <c r="I4" s="57" t="s">
        <v>15</v>
      </c>
      <c r="J4" s="57" t="s">
        <v>16</v>
      </c>
      <c r="K4" s="93" t="s">
        <v>17</v>
      </c>
      <c r="L4" s="44"/>
      <c r="M4" s="44"/>
      <c r="N4" s="44"/>
      <c r="O4" s="44"/>
      <c r="P4" s="44"/>
      <c r="Q4" s="45"/>
    </row>
    <row r="5" spans="2:17" ht="18" customHeight="1" thickBot="1" x14ac:dyDescent="0.25">
      <c r="B5" s="47"/>
      <c r="C5" s="90" t="s">
        <v>18</v>
      </c>
      <c r="D5" s="91" t="s">
        <v>19</v>
      </c>
      <c r="E5" s="91" t="s">
        <v>20</v>
      </c>
      <c r="F5" s="91" t="s">
        <v>21</v>
      </c>
      <c r="G5" s="94" t="s">
        <v>22</v>
      </c>
      <c r="H5" s="91" t="s">
        <v>23</v>
      </c>
      <c r="I5" s="91" t="s">
        <v>24</v>
      </c>
      <c r="J5" s="91" t="s">
        <v>25</v>
      </c>
      <c r="K5" s="92"/>
      <c r="L5" s="44"/>
      <c r="M5" s="44"/>
      <c r="N5" s="44"/>
      <c r="O5" s="44"/>
      <c r="P5" s="45"/>
      <c r="Q5" s="48"/>
    </row>
    <row r="6" spans="2:17" ht="18" customHeight="1" x14ac:dyDescent="0.2">
      <c r="B6" s="47"/>
      <c r="C6" s="49"/>
      <c r="D6" s="50" t="s">
        <v>0</v>
      </c>
      <c r="E6" s="50" t="s">
        <v>1</v>
      </c>
      <c r="F6" s="50" t="s">
        <v>2</v>
      </c>
      <c r="G6" s="50" t="s">
        <v>3</v>
      </c>
      <c r="H6" s="50" t="s">
        <v>4</v>
      </c>
      <c r="I6" s="50" t="s">
        <v>5</v>
      </c>
      <c r="J6" s="50" t="s">
        <v>6</v>
      </c>
      <c r="K6" s="51" t="s">
        <v>7</v>
      </c>
      <c r="L6" s="52"/>
      <c r="M6" s="52"/>
      <c r="N6" s="52"/>
      <c r="O6" s="52"/>
      <c r="P6" s="48"/>
      <c r="Q6" s="48"/>
    </row>
    <row r="7" spans="2:17" ht="18" customHeight="1" x14ac:dyDescent="0.2">
      <c r="B7" s="47"/>
      <c r="C7" s="53">
        <v>1</v>
      </c>
      <c r="D7" s="54"/>
      <c r="E7" s="54"/>
      <c r="F7" s="54"/>
      <c r="G7" s="54"/>
      <c r="H7" s="54" t="s">
        <v>6</v>
      </c>
      <c r="I7" s="54"/>
      <c r="J7" s="54"/>
      <c r="K7" s="55"/>
      <c r="L7" s="52"/>
      <c r="M7" s="52"/>
      <c r="N7" s="52"/>
      <c r="O7" s="52"/>
      <c r="P7" s="48"/>
      <c r="Q7" s="48"/>
    </row>
    <row r="8" spans="2:17" ht="18" customHeight="1" x14ac:dyDescent="0.2">
      <c r="B8" s="47"/>
      <c r="C8" s="53">
        <v>2</v>
      </c>
      <c r="D8" s="54"/>
      <c r="E8" s="54"/>
      <c r="F8" s="54" t="s">
        <v>2</v>
      </c>
      <c r="G8" s="54"/>
      <c r="H8" s="80" t="s">
        <v>14</v>
      </c>
      <c r="I8" s="54"/>
      <c r="J8" s="54"/>
      <c r="K8" s="56"/>
      <c r="L8" s="52"/>
      <c r="M8" s="52"/>
      <c r="N8" s="52"/>
      <c r="O8" s="52"/>
      <c r="P8" s="48"/>
      <c r="Q8" s="48"/>
    </row>
    <row r="9" spans="2:17" ht="18" customHeight="1" x14ac:dyDescent="0.2">
      <c r="B9" s="47"/>
      <c r="C9" s="53">
        <v>3</v>
      </c>
      <c r="D9" s="57"/>
      <c r="E9" s="57"/>
      <c r="F9" s="80" t="s">
        <v>17</v>
      </c>
      <c r="G9" s="57"/>
      <c r="H9" s="57" t="s">
        <v>22</v>
      </c>
      <c r="I9" s="57"/>
      <c r="J9" s="57"/>
      <c r="K9" s="55"/>
      <c r="L9" s="52"/>
      <c r="M9" s="52"/>
      <c r="N9" s="52"/>
      <c r="O9" s="52"/>
      <c r="P9" s="48"/>
      <c r="Q9" s="48"/>
    </row>
    <row r="10" spans="2:17" ht="18" customHeight="1" x14ac:dyDescent="0.2">
      <c r="B10" s="47"/>
      <c r="C10" s="53">
        <v>4</v>
      </c>
      <c r="D10" s="57"/>
      <c r="E10" s="57"/>
      <c r="F10" s="80" t="s">
        <v>14</v>
      </c>
      <c r="G10" s="57" t="s">
        <v>22</v>
      </c>
      <c r="H10" s="80" t="s">
        <v>13</v>
      </c>
      <c r="I10" s="57"/>
      <c r="J10" s="57"/>
      <c r="K10" s="55"/>
      <c r="L10" s="52"/>
      <c r="M10" s="52"/>
      <c r="N10" s="52"/>
      <c r="O10" s="52"/>
      <c r="P10" s="48"/>
      <c r="Q10" s="48"/>
    </row>
    <row r="11" spans="2:17" ht="18" customHeight="1" x14ac:dyDescent="0.2">
      <c r="B11" s="47"/>
      <c r="C11" s="53">
        <v>5</v>
      </c>
      <c r="D11" s="57"/>
      <c r="E11" s="58"/>
      <c r="F11" s="80" t="s">
        <v>22</v>
      </c>
      <c r="G11" s="57"/>
      <c r="H11" s="59"/>
      <c r="I11" s="57"/>
      <c r="J11" s="57"/>
      <c r="K11" s="55"/>
      <c r="L11" s="52"/>
      <c r="M11" s="52"/>
      <c r="N11" s="52"/>
      <c r="O11" s="52"/>
      <c r="P11" s="48"/>
      <c r="Q11" s="48"/>
    </row>
    <row r="12" spans="2:17" ht="18" customHeight="1" x14ac:dyDescent="0.2">
      <c r="B12" s="47"/>
      <c r="C12" s="53">
        <v>6</v>
      </c>
      <c r="D12" s="57"/>
      <c r="E12" s="57"/>
      <c r="F12" s="80" t="s">
        <v>13</v>
      </c>
      <c r="G12" s="57"/>
      <c r="H12" s="57"/>
      <c r="I12" s="57"/>
      <c r="J12" s="57"/>
      <c r="K12" s="55"/>
      <c r="L12" s="52"/>
      <c r="M12" s="52"/>
      <c r="N12" s="52"/>
      <c r="O12" s="52"/>
      <c r="P12" s="48"/>
      <c r="Q12" s="48"/>
    </row>
    <row r="13" spans="2:17" ht="18" customHeight="1" x14ac:dyDescent="0.2">
      <c r="B13" s="47"/>
      <c r="C13" s="53">
        <v>7</v>
      </c>
      <c r="D13" s="59"/>
      <c r="E13" s="57"/>
      <c r="F13" s="57"/>
      <c r="G13" s="57"/>
      <c r="H13" s="57"/>
      <c r="I13" s="57"/>
      <c r="J13" s="57"/>
      <c r="K13" s="56"/>
      <c r="L13" s="52"/>
      <c r="M13" s="52"/>
      <c r="N13" s="52"/>
      <c r="O13" s="52"/>
      <c r="P13" s="48"/>
      <c r="Q13" s="48"/>
    </row>
    <row r="14" spans="2:17" ht="18" customHeight="1" thickBot="1" x14ac:dyDescent="0.25">
      <c r="B14" s="47"/>
      <c r="C14" s="60">
        <v>8</v>
      </c>
      <c r="D14" s="61"/>
      <c r="E14" s="61"/>
      <c r="F14" s="61"/>
      <c r="G14" s="61"/>
      <c r="H14" s="61"/>
      <c r="I14" s="61"/>
      <c r="J14" s="61"/>
      <c r="K14" s="62"/>
      <c r="L14" s="52"/>
      <c r="M14" s="52"/>
      <c r="N14" s="52"/>
      <c r="O14" s="52"/>
      <c r="P14" s="48"/>
      <c r="Q14" s="48"/>
    </row>
    <row r="15" spans="2:17" ht="18" customHeight="1" x14ac:dyDescent="0.2">
      <c r="B15" s="47"/>
      <c r="C15" s="402" t="s">
        <v>29</v>
      </c>
      <c r="D15" s="403"/>
      <c r="E15" s="404"/>
      <c r="F15" s="402" t="s">
        <v>30</v>
      </c>
      <c r="G15" s="403"/>
      <c r="H15" s="404"/>
      <c r="I15" s="402" t="s">
        <v>31</v>
      </c>
      <c r="J15" s="403"/>
      <c r="K15" s="404"/>
      <c r="L15" s="52"/>
      <c r="M15" s="381" t="s">
        <v>36</v>
      </c>
      <c r="N15" s="382"/>
      <c r="O15" s="382"/>
      <c r="P15" s="383"/>
      <c r="Q15" s="48"/>
    </row>
    <row r="16" spans="2:17" ht="18" customHeight="1" thickBot="1" x14ac:dyDescent="0.25">
      <c r="B16" s="47"/>
      <c r="C16" s="405"/>
      <c r="D16" s="406"/>
      <c r="E16" s="407"/>
      <c r="F16" s="405"/>
      <c r="G16" s="406"/>
      <c r="H16" s="407"/>
      <c r="I16" s="405"/>
      <c r="J16" s="406"/>
      <c r="K16" s="407"/>
      <c r="L16" s="52"/>
      <c r="M16" s="384"/>
      <c r="N16" s="385"/>
      <c r="O16" s="385"/>
      <c r="P16" s="386"/>
      <c r="Q16" s="48"/>
    </row>
    <row r="17" spans="2:17" ht="18" customHeight="1" thickBot="1" x14ac:dyDescent="0.25">
      <c r="B17" s="47"/>
      <c r="C17" s="396" t="s">
        <v>32</v>
      </c>
      <c r="D17" s="397"/>
      <c r="E17" s="398"/>
      <c r="F17" s="396" t="s">
        <v>33</v>
      </c>
      <c r="G17" s="397"/>
      <c r="H17" s="398"/>
      <c r="I17" s="396" t="s">
        <v>34</v>
      </c>
      <c r="J17" s="397"/>
      <c r="K17" s="398"/>
      <c r="L17" s="52"/>
      <c r="M17" s="393">
        <v>10</v>
      </c>
      <c r="N17" s="394"/>
      <c r="O17" s="394"/>
      <c r="P17" s="395"/>
      <c r="Q17" s="48"/>
    </row>
    <row r="18" spans="2:17" ht="8.25" customHeight="1" thickBot="1" x14ac:dyDescent="0.25">
      <c r="B18" s="47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48"/>
    </row>
    <row r="19" spans="2:17" ht="18" customHeight="1" thickBot="1" x14ac:dyDescent="0.25">
      <c r="B19" s="47"/>
      <c r="C19" s="339" t="s">
        <v>28</v>
      </c>
      <c r="D19" s="340"/>
      <c r="E19" s="340"/>
      <c r="F19" s="340"/>
      <c r="G19" s="340"/>
      <c r="H19" s="340"/>
      <c r="I19" s="340"/>
      <c r="J19" s="340"/>
      <c r="K19" s="341"/>
      <c r="L19" s="52"/>
      <c r="M19" s="52"/>
      <c r="N19" s="52"/>
      <c r="O19" s="52"/>
      <c r="P19" s="48"/>
      <c r="Q19" s="48"/>
    </row>
    <row r="20" spans="2:17" ht="18" customHeight="1" x14ac:dyDescent="0.2">
      <c r="B20" s="47"/>
      <c r="C20" s="84" t="s">
        <v>0</v>
      </c>
      <c r="D20" s="83" t="s">
        <v>1</v>
      </c>
      <c r="E20" s="65" t="s">
        <v>2</v>
      </c>
      <c r="F20" s="65" t="s">
        <v>3</v>
      </c>
      <c r="G20" s="83" t="s">
        <v>4</v>
      </c>
      <c r="H20" s="65" t="s">
        <v>5</v>
      </c>
      <c r="I20" s="83" t="s">
        <v>6</v>
      </c>
      <c r="J20" s="66" t="s">
        <v>7</v>
      </c>
      <c r="K20" s="67" t="s">
        <v>8</v>
      </c>
      <c r="L20" s="52"/>
      <c r="M20" s="52"/>
      <c r="N20" s="52"/>
      <c r="O20" s="52"/>
      <c r="P20" s="48"/>
      <c r="Q20" s="48"/>
    </row>
    <row r="21" spans="2:17" ht="18" customHeight="1" x14ac:dyDescent="0.2">
      <c r="B21" s="47"/>
      <c r="C21" s="68" t="s">
        <v>9</v>
      </c>
      <c r="D21" s="54" t="s">
        <v>10</v>
      </c>
      <c r="E21" s="81" t="s">
        <v>11</v>
      </c>
      <c r="F21" s="54" t="s">
        <v>12</v>
      </c>
      <c r="G21" s="54" t="s">
        <v>13</v>
      </c>
      <c r="H21" s="81" t="s">
        <v>14</v>
      </c>
      <c r="I21" s="54" t="s">
        <v>15</v>
      </c>
      <c r="J21" s="54" t="s">
        <v>16</v>
      </c>
      <c r="K21" s="85" t="s">
        <v>17</v>
      </c>
      <c r="L21" s="52"/>
      <c r="M21" s="52"/>
      <c r="N21" s="52"/>
      <c r="O21" s="52"/>
      <c r="P21" s="48"/>
      <c r="Q21" s="48"/>
    </row>
    <row r="22" spans="2:17" ht="18" customHeight="1" thickBot="1" x14ac:dyDescent="0.25">
      <c r="B22" s="47"/>
      <c r="C22" s="69" t="s">
        <v>18</v>
      </c>
      <c r="D22" s="82" t="s">
        <v>19</v>
      </c>
      <c r="E22" s="61" t="s">
        <v>20</v>
      </c>
      <c r="F22" s="61" t="s">
        <v>21</v>
      </c>
      <c r="G22" s="61" t="s">
        <v>22</v>
      </c>
      <c r="H22" s="61" t="s">
        <v>23</v>
      </c>
      <c r="I22" s="61" t="s">
        <v>24</v>
      </c>
      <c r="J22" s="61" t="s">
        <v>25</v>
      </c>
      <c r="K22" s="92"/>
      <c r="L22" s="52"/>
      <c r="M22" s="52"/>
      <c r="N22" s="52"/>
      <c r="O22" s="52"/>
      <c r="P22" s="48"/>
      <c r="Q22" s="48"/>
    </row>
    <row r="23" spans="2:17" ht="18" customHeight="1" thickBot="1" x14ac:dyDescent="0.25">
      <c r="B23" s="47"/>
      <c r="C23" s="63">
        <v>1</v>
      </c>
      <c r="D23" s="64" t="s">
        <v>27</v>
      </c>
      <c r="E23" s="64" t="s">
        <v>14</v>
      </c>
      <c r="F23" s="64" t="s">
        <v>6</v>
      </c>
      <c r="G23" s="70"/>
      <c r="H23" s="70"/>
      <c r="I23" s="70"/>
      <c r="J23" s="70"/>
      <c r="K23" s="71"/>
      <c r="L23" s="52"/>
      <c r="M23" s="52"/>
      <c r="N23" s="52"/>
      <c r="O23" s="52"/>
      <c r="P23" s="48"/>
      <c r="Q23" s="48"/>
    </row>
    <row r="24" spans="2:17" ht="18" customHeight="1" thickBot="1" x14ac:dyDescent="0.25">
      <c r="B24" s="47"/>
      <c r="C24" s="72">
        <v>2</v>
      </c>
      <c r="D24" s="73" t="s">
        <v>1</v>
      </c>
      <c r="E24" s="73" t="s">
        <v>14</v>
      </c>
      <c r="F24" s="73" t="s">
        <v>0</v>
      </c>
      <c r="G24" s="73" t="s">
        <v>19</v>
      </c>
      <c r="H24" s="74"/>
      <c r="I24" s="74"/>
      <c r="J24" s="74"/>
      <c r="K24" s="75"/>
      <c r="L24" s="52"/>
      <c r="M24" s="52"/>
      <c r="N24" s="52"/>
      <c r="O24" s="52"/>
      <c r="P24" s="48"/>
      <c r="Q24" s="48"/>
    </row>
    <row r="25" spans="2:17" ht="18" customHeight="1" thickBot="1" x14ac:dyDescent="0.25">
      <c r="B25" s="47"/>
      <c r="C25" s="72">
        <v>3</v>
      </c>
      <c r="D25" s="73" t="s">
        <v>11</v>
      </c>
      <c r="E25" s="73" t="s">
        <v>0</v>
      </c>
      <c r="F25" s="73" t="s">
        <v>17</v>
      </c>
      <c r="G25" s="73" t="s">
        <v>6</v>
      </c>
      <c r="H25" s="73" t="s">
        <v>4</v>
      </c>
      <c r="I25" s="74"/>
      <c r="J25" s="74"/>
      <c r="K25" s="75"/>
      <c r="L25" s="52"/>
      <c r="M25" s="52"/>
      <c r="N25" s="52"/>
      <c r="O25" s="52"/>
      <c r="P25" s="48"/>
      <c r="Q25" s="48"/>
    </row>
    <row r="26" spans="2:17" ht="18" customHeight="1" x14ac:dyDescent="0.2">
      <c r="B26" s="47"/>
      <c r="C26" s="76"/>
      <c r="D26" s="50" t="s">
        <v>0</v>
      </c>
      <c r="E26" s="50" t="s">
        <v>1</v>
      </c>
      <c r="F26" s="50" t="s">
        <v>2</v>
      </c>
      <c r="G26" s="50" t="s">
        <v>3</v>
      </c>
      <c r="H26" s="50" t="s">
        <v>4</v>
      </c>
      <c r="I26" s="50" t="s">
        <v>5</v>
      </c>
      <c r="J26" s="50" t="s">
        <v>6</v>
      </c>
      <c r="K26" s="51" t="s">
        <v>7</v>
      </c>
      <c r="L26" s="52"/>
      <c r="M26" s="52"/>
      <c r="N26" s="52"/>
      <c r="O26" s="52"/>
      <c r="P26" s="48"/>
      <c r="Q26" s="48"/>
    </row>
    <row r="27" spans="2:17" ht="18" customHeight="1" x14ac:dyDescent="0.2">
      <c r="B27" s="47"/>
      <c r="C27" s="53">
        <v>1</v>
      </c>
      <c r="D27" s="54"/>
      <c r="E27" s="54"/>
      <c r="F27" s="54"/>
      <c r="G27" s="54"/>
      <c r="H27" s="54"/>
      <c r="I27" s="54"/>
      <c r="J27" s="54"/>
      <c r="K27" s="55"/>
      <c r="L27" s="52"/>
      <c r="M27" s="52"/>
      <c r="N27" s="52"/>
      <c r="O27" s="52"/>
      <c r="P27" s="48"/>
      <c r="Q27" s="48"/>
    </row>
    <row r="28" spans="2:17" ht="18" customHeight="1" x14ac:dyDescent="0.2">
      <c r="B28" s="47"/>
      <c r="C28" s="53">
        <v>2</v>
      </c>
      <c r="D28" s="54"/>
      <c r="E28" s="54"/>
      <c r="F28" s="81" t="s">
        <v>1</v>
      </c>
      <c r="G28" s="54"/>
      <c r="H28" s="54"/>
      <c r="I28" s="54"/>
      <c r="J28" s="54"/>
      <c r="K28" s="55"/>
      <c r="L28" s="52"/>
      <c r="M28" s="52"/>
      <c r="N28" s="52"/>
      <c r="O28" s="52"/>
      <c r="P28" s="48"/>
      <c r="Q28" s="48"/>
    </row>
    <row r="29" spans="2:17" ht="18" customHeight="1" x14ac:dyDescent="0.2">
      <c r="B29" s="47"/>
      <c r="C29" s="53">
        <v>3</v>
      </c>
      <c r="D29" s="54"/>
      <c r="E29" s="59"/>
      <c r="F29" s="81" t="s">
        <v>14</v>
      </c>
      <c r="G29" s="54"/>
      <c r="H29" s="54"/>
      <c r="I29" s="54"/>
      <c r="J29" s="54"/>
      <c r="K29" s="55"/>
      <c r="L29" s="52"/>
      <c r="M29" s="52"/>
      <c r="N29" s="52"/>
      <c r="O29" s="52"/>
      <c r="P29" s="48"/>
      <c r="Q29" s="48"/>
    </row>
    <row r="30" spans="2:17" ht="18" customHeight="1" thickBot="1" x14ac:dyDescent="0.25">
      <c r="B30" s="47"/>
      <c r="C30" s="53">
        <v>4</v>
      </c>
      <c r="D30" s="54"/>
      <c r="E30" s="59"/>
      <c r="F30" s="81" t="s">
        <v>0</v>
      </c>
      <c r="G30" s="59"/>
      <c r="H30" s="81" t="s">
        <v>11</v>
      </c>
      <c r="I30" s="54"/>
      <c r="J30" s="54"/>
      <c r="K30" s="55"/>
      <c r="L30" s="52"/>
      <c r="M30" s="52"/>
      <c r="N30" s="52"/>
      <c r="O30" s="52"/>
      <c r="P30" s="48"/>
      <c r="Q30" s="48"/>
    </row>
    <row r="31" spans="2:17" ht="18" customHeight="1" x14ac:dyDescent="0.2">
      <c r="B31" s="47"/>
      <c r="C31" s="53">
        <v>5</v>
      </c>
      <c r="D31" s="54"/>
      <c r="E31" s="59"/>
      <c r="F31" s="81" t="s">
        <v>19</v>
      </c>
      <c r="G31" s="81" t="s">
        <v>0</v>
      </c>
      <c r="H31" s="54"/>
      <c r="I31" s="54"/>
      <c r="J31" s="59"/>
      <c r="K31" s="55"/>
      <c r="L31" s="52"/>
      <c r="M31" s="387" t="s">
        <v>36</v>
      </c>
      <c r="N31" s="388"/>
      <c r="O31" s="388"/>
      <c r="P31" s="389"/>
      <c r="Q31" s="48"/>
    </row>
    <row r="32" spans="2:17" ht="18" customHeight="1" thickBot="1" x14ac:dyDescent="0.25">
      <c r="B32" s="47"/>
      <c r="C32" s="53">
        <v>6</v>
      </c>
      <c r="D32" s="54"/>
      <c r="E32" s="54"/>
      <c r="F32" s="81" t="s">
        <v>17</v>
      </c>
      <c r="G32" s="59"/>
      <c r="H32" s="54"/>
      <c r="I32" s="54"/>
      <c r="J32" s="54"/>
      <c r="K32" s="55"/>
      <c r="L32" s="52"/>
      <c r="M32" s="390"/>
      <c r="N32" s="391"/>
      <c r="O32" s="391"/>
      <c r="P32" s="392"/>
      <c r="Q32" s="48"/>
    </row>
    <row r="33" spans="2:17" ht="18" customHeight="1" thickBot="1" x14ac:dyDescent="0.25">
      <c r="B33" s="47"/>
      <c r="C33" s="53">
        <v>7</v>
      </c>
      <c r="D33" s="54"/>
      <c r="E33" s="81" t="s">
        <v>6</v>
      </c>
      <c r="F33" s="54"/>
      <c r="G33" s="54"/>
      <c r="H33" s="59"/>
      <c r="I33" s="54"/>
      <c r="J33" s="54"/>
      <c r="K33" s="55"/>
      <c r="L33" s="52"/>
      <c r="M33" s="396">
        <v>5</v>
      </c>
      <c r="N33" s="397"/>
      <c r="O33" s="397"/>
      <c r="P33" s="398"/>
      <c r="Q33" s="48"/>
    </row>
    <row r="34" spans="2:17" ht="18" customHeight="1" thickBot="1" x14ac:dyDescent="0.25">
      <c r="B34" s="47"/>
      <c r="C34" s="60">
        <v>8</v>
      </c>
      <c r="D34" s="82" t="s">
        <v>4</v>
      </c>
      <c r="E34" s="61"/>
      <c r="F34" s="61"/>
      <c r="G34" s="61"/>
      <c r="H34" s="61"/>
      <c r="I34" s="61"/>
      <c r="J34" s="61"/>
      <c r="K34" s="62"/>
      <c r="L34" s="77"/>
      <c r="M34" s="77"/>
      <c r="N34" s="77"/>
      <c r="O34" s="77"/>
      <c r="P34" s="77"/>
      <c r="Q34" s="48"/>
    </row>
    <row r="35" spans="2:17" ht="2.25" customHeight="1" thickBot="1" x14ac:dyDescent="0.25">
      <c r="B35" s="78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9"/>
    </row>
  </sheetData>
  <mergeCells count="12">
    <mergeCell ref="C2:K2"/>
    <mergeCell ref="C17:E17"/>
    <mergeCell ref="F17:H17"/>
    <mergeCell ref="I17:K17"/>
    <mergeCell ref="C15:E16"/>
    <mergeCell ref="F15:H16"/>
    <mergeCell ref="I15:K16"/>
    <mergeCell ref="M15:P16"/>
    <mergeCell ref="M31:P32"/>
    <mergeCell ref="M17:P17"/>
    <mergeCell ref="M33:P33"/>
    <mergeCell ref="C19:K1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claude playtest</vt:lpstr>
      <vt:lpstr>Grid Layouts Concept1</vt:lpstr>
      <vt:lpstr>Setup Menu Concept</vt:lpstr>
      <vt:lpstr>Game Play Screen Concept</vt:lpstr>
      <vt:lpstr>Stacey playtest</vt:lpstr>
      <vt:lpstr>Stacey Playtest expanded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Brandon</dc:creator>
  <cp:lastModifiedBy>Stephen Brandon</cp:lastModifiedBy>
  <dcterms:created xsi:type="dcterms:W3CDTF">2025-11-21T17:25:28Z</dcterms:created>
  <dcterms:modified xsi:type="dcterms:W3CDTF">2025-11-29T03:02:45Z</dcterms:modified>
</cp:coreProperties>
</file>